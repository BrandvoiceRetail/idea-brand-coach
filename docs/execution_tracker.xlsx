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 Log" sheetId="2" state="visible" r:id="rId2"/>
    <sheet name="Objectives" sheetId="3" state="visible" r:id="rId3"/>
    <sheet name="Meetings" sheetId="4" state="visible" r:id="rId4"/>
    <sheet name="Sessions" sheetId="5" state="visible" r:id="rId5"/>
    <sheet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2" fontId="0" fillId="0" borderId="1" pivotButton="0" quotePrefix="0" xfId="0"/>
    <xf numFmtId="9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2" fontId="3" fillId="0" borderId="0" pivotButton="0" quotePrefix="0" xfId="0"/>
    <xf numFmtId="0" fontId="0" fillId="6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IDEA Brand Coach Gen 3 — Execution &amp; Time Tracker</t>
        </is>
      </c>
    </row>
    <row r="2">
      <c r="A2" s="2" t="inlineStr">
        <is>
          <t>Generated 2026-05-25 · execution + effort view at strategic-objective grain · links to feature_status_tracker.xlsx by feature ID</t>
        </is>
      </c>
    </row>
    <row r="4">
      <c r="A4" s="3" t="inlineStr">
        <is>
          <t>Time invested by source</t>
        </is>
      </c>
    </row>
    <row r="5">
      <c r="A5" s="4" t="inlineStr">
        <is>
          <t>Source</t>
        </is>
      </c>
      <c r="B5" s="4" t="inlineStr">
        <is>
          <t>Hours</t>
        </is>
      </c>
      <c r="C5" s="4" t="inlineStr">
        <is>
          <t>Share</t>
        </is>
      </c>
    </row>
    <row r="6">
      <c r="A6" s="5" t="inlineStr">
        <is>
          <t>Logged (Clockify)</t>
        </is>
      </c>
      <c r="B6" s="6" t="n">
        <v>9.779999999999999</v>
      </c>
      <c r="C6" s="7" t="n">
        <v>0.5277073328656989</v>
      </c>
    </row>
    <row r="7">
      <c r="A7" s="8" t="inlineStr">
        <is>
          <t>Meetings (Fathom, unlogged)</t>
        </is>
      </c>
      <c r="B7" s="6" t="n">
        <v>2.7</v>
      </c>
      <c r="C7" s="7" t="n">
        <v>0.1456860734905304</v>
      </c>
    </row>
    <row r="8">
      <c r="A8" s="9" t="inlineStr">
        <is>
          <t>Estimated (agent sessions)</t>
        </is>
      </c>
      <c r="B8" s="6" t="n">
        <v>6.05</v>
      </c>
      <c r="C8" s="7" t="n">
        <v>0.3266065936437705</v>
      </c>
    </row>
    <row r="9">
      <c r="A9" s="10" t="inlineStr">
        <is>
          <t>GRAND TOTAL</t>
        </is>
      </c>
      <c r="B9" s="11" t="n">
        <v>18.53</v>
      </c>
      <c r="C9" s="12" t="n"/>
    </row>
    <row r="10">
      <c r="A10" s="3" t="inlineStr">
        <is>
          <t>Per-objective rollup</t>
        </is>
      </c>
    </row>
    <row r="11">
      <c r="A11" s="4" t="inlineStr">
        <is>
          <t>Objective</t>
        </is>
      </c>
      <c r="B11" s="4" t="inlineStr">
        <is>
          <t>Status</t>
        </is>
      </c>
      <c r="C11" s="4" t="inlineStr">
        <is>
          <t>Rollup %</t>
        </is>
      </c>
      <c r="D11" s="4" t="inlineStr">
        <is>
          <t>Total Hours</t>
        </is>
      </c>
    </row>
    <row r="12">
      <c r="A12" s="12">
        <f>Objectives!B2</f>
        <v/>
      </c>
      <c r="B12" s="12">
        <f>Objectives!F2</f>
        <v/>
      </c>
      <c r="C12" s="12">
        <f>Objectives!G2</f>
        <v/>
      </c>
      <c r="D12" s="6">
        <f>Objectives!K2</f>
        <v/>
      </c>
    </row>
    <row r="13">
      <c r="A13" s="12">
        <f>Objectives!B3</f>
        <v/>
      </c>
      <c r="B13" s="12">
        <f>Objectives!F3</f>
        <v/>
      </c>
      <c r="C13" s="12">
        <f>Objectives!G3</f>
        <v/>
      </c>
      <c r="D13" s="6">
        <f>Objectives!K3</f>
        <v/>
      </c>
    </row>
    <row r="14">
      <c r="A14" s="12">
        <f>Objectives!B4</f>
        <v/>
      </c>
      <c r="B14" s="12">
        <f>Objectives!F4</f>
        <v/>
      </c>
      <c r="C14" s="12">
        <f>Objectives!G4</f>
        <v/>
      </c>
      <c r="D14" s="6">
        <f>Objectives!K4</f>
        <v/>
      </c>
    </row>
    <row r="15">
      <c r="A15" s="12">
        <f>Objectives!B5</f>
        <v/>
      </c>
      <c r="B15" s="12">
        <f>Objectives!F5</f>
        <v/>
      </c>
      <c r="C15" s="12">
        <f>Objectives!G5</f>
        <v/>
      </c>
      <c r="D15" s="6">
        <f>Objectives!K5</f>
        <v/>
      </c>
    </row>
    <row r="16">
      <c r="A16" s="12">
        <f>Objectives!B6</f>
        <v/>
      </c>
      <c r="B16" s="12">
        <f>Objectives!F6</f>
        <v/>
      </c>
      <c r="C16" s="12">
        <f>Objectives!G6</f>
        <v/>
      </c>
      <c r="D16" s="6">
        <f>Objectives!K6</f>
        <v/>
      </c>
    </row>
    <row r="17">
      <c r="A17" s="12">
        <f>Objectives!B7</f>
        <v/>
      </c>
      <c r="B17" s="12">
        <f>Objectives!F7</f>
        <v/>
      </c>
      <c r="C17" s="12">
        <f>Objectives!G7</f>
        <v/>
      </c>
      <c r="D17" s="6">
        <f>Objectives!K7</f>
        <v/>
      </c>
    </row>
    <row r="18">
      <c r="A18" s="12">
        <f>Objectives!B8</f>
        <v/>
      </c>
      <c r="B18" s="12">
        <f>Objectives!F8</f>
        <v/>
      </c>
      <c r="C18" s="12">
        <f>Objectives!G8</f>
        <v/>
      </c>
      <c r="D18" s="6">
        <f>Objectives!K8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0" customWidth="1" min="4" max="4"/>
    <col width="9" customWidth="1" min="5" max="5"/>
    <col width="42" customWidth="1" min="6" max="6"/>
  </cols>
  <sheetData>
    <row r="1">
      <c r="A1" s="4" t="inlineStr">
        <is>
          <t>Date</t>
        </is>
      </c>
      <c r="B1" s="4" t="inlineStr">
        <is>
          <t>Source</t>
        </is>
      </c>
      <c r="C1" s="4" t="inlineStr">
        <is>
          <t>Objective</t>
        </is>
      </c>
      <c r="D1" s="4" t="inlineStr">
        <is>
          <t>Description</t>
        </is>
      </c>
      <c r="E1" s="4" t="inlineStr">
        <is>
          <t>Hours</t>
        </is>
      </c>
      <c r="F1" s="4" t="inlineStr">
        <is>
          <t>Note</t>
        </is>
      </c>
    </row>
    <row r="2">
      <c r="A2" s="13" t="n">
        <v>46086</v>
      </c>
      <c r="B2" s="8" t="inlineStr">
        <is>
          <t>meeting</t>
        </is>
      </c>
      <c r="C2" s="12" t="inlineStr">
        <is>
          <t>O7</t>
        </is>
      </c>
      <c r="D2" s="12" t="inlineStr">
        <is>
          <t>Meeting: Impromptu Google Meet — pivot to conversational AI coach</t>
        </is>
      </c>
      <c r="E2" s="6" t="n">
        <v>0.6</v>
      </c>
      <c r="F2" s="14" t="inlineStr">
        <is>
          <t>Unlogged. Pivot decision + $500 acceleration. Est. from max summary ts ~2188s.</t>
        </is>
      </c>
    </row>
    <row r="3">
      <c r="A3" s="13" t="n">
        <v>46086</v>
      </c>
      <c r="B3" s="8" t="inlineStr">
        <is>
          <t>meeting</t>
        </is>
      </c>
      <c r="C3" s="12" t="inlineStr">
        <is>
          <t>O7</t>
        </is>
      </c>
      <c r="D3" s="12" t="inlineStr">
        <is>
          <t>Meeting: Impromptu Zoom — refine value prop &amp; IDEA workflow</t>
        </is>
      </c>
      <c r="E3" s="6" t="n">
        <v>0.7</v>
      </c>
      <c r="F3" s="14" t="inlineStr">
        <is>
          <t>Unlogged. IDEA framework workflow, chat-first canvas. Est. from max summary ts ~2336s.</t>
        </is>
      </c>
    </row>
    <row r="4">
      <c r="A4" s="13" t="n">
        <v>46099</v>
      </c>
      <c r="B4" s="8" t="inlineStr">
        <is>
          <t>meeting</t>
        </is>
      </c>
      <c r="C4" s="12" t="inlineStr">
        <is>
          <t>O7</t>
        </is>
      </c>
      <c r="D4" s="12" t="inlineStr">
        <is>
          <t>Meeting: IDEA Brand Coach Sync Up</t>
        </is>
      </c>
      <c r="E4" s="6" t="n">
        <v>1.4</v>
      </c>
      <c r="F4" s="14" t="inlineStr">
        <is>
          <t>Unlogged. Skill-based model pivot, beta plan, cost analysis. Est. from max summary ts ~4939s.</t>
        </is>
      </c>
    </row>
    <row r="5">
      <c r="A5" s="13" t="n">
        <v>46118</v>
      </c>
      <c r="B5" s="5" t="inlineStr">
        <is>
          <t>logged</t>
        </is>
      </c>
      <c r="C5" s="12" t="inlineStr">
        <is>
          <t>O7</t>
        </is>
      </c>
      <c r="D5" s="12" t="inlineStr">
        <is>
          <t>push to Lovable</t>
        </is>
      </c>
      <c r="E5" s="6" t="n">
        <v>0.03</v>
      </c>
      <c r="F5" s="14" t="inlineStr"/>
    </row>
    <row r="6">
      <c r="A6" s="13" t="n">
        <v>46118</v>
      </c>
      <c r="B6" s="5" t="inlineStr">
        <is>
          <t>logged</t>
        </is>
      </c>
      <c r="C6" s="12" t="inlineStr">
        <is>
          <t>O1</t>
        </is>
      </c>
      <c r="D6" s="12" t="inlineStr">
        <is>
          <t>Integrate Claude agent SDK</t>
        </is>
      </c>
      <c r="E6" s="6" t="n">
        <v>0.17</v>
      </c>
      <c r="F6" s="14" t="inlineStr"/>
    </row>
    <row r="7">
      <c r="A7" s="13" t="n">
        <v>46119</v>
      </c>
      <c r="B7" s="5" t="inlineStr">
        <is>
          <t>logged</t>
        </is>
      </c>
      <c r="C7" s="12" t="inlineStr">
        <is>
          <t>O3</t>
        </is>
      </c>
      <c r="D7" s="12" t="inlineStr">
        <is>
          <t>optimize extraction fields + field review flow</t>
        </is>
      </c>
      <c r="E7" s="6" t="n">
        <v>0.14</v>
      </c>
      <c r="F7" s="14" t="inlineStr"/>
    </row>
    <row r="8">
      <c r="A8" s="13" t="n">
        <v>46119</v>
      </c>
      <c r="B8" s="5" t="inlineStr">
        <is>
          <t>logged</t>
        </is>
      </c>
      <c r="C8" s="12" t="inlineStr">
        <is>
          <t>O3</t>
        </is>
      </c>
      <c r="D8" s="12" t="inlineStr">
        <is>
          <t>optimize extraction fields + field review flow</t>
        </is>
      </c>
      <c r="E8" s="6" t="n">
        <v>0.25</v>
      </c>
      <c r="F8" s="14" t="inlineStr"/>
    </row>
    <row r="9">
      <c r="A9" s="13" t="n">
        <v>46119</v>
      </c>
      <c r="B9" s="5" t="inlineStr">
        <is>
          <t>logged</t>
        </is>
      </c>
      <c r="C9" s="12" t="inlineStr">
        <is>
          <t>O1</t>
        </is>
      </c>
      <c r="D9" s="12" t="inlineStr">
        <is>
          <t>clean up broken text entry in chat, hardcoded text always appearing for suggested edits, push updated working app to Lovable &amp; verify doc gen works</t>
        </is>
      </c>
      <c r="E9" s="6" t="n">
        <v>0.76</v>
      </c>
      <c r="F9" s="14" t="inlineStr"/>
    </row>
    <row r="10">
      <c r="A10" s="13" t="n">
        <v>46131</v>
      </c>
      <c r="B10" s="5" t="inlineStr">
        <is>
          <t>logged</t>
        </is>
      </c>
      <c r="C10" s="12" t="inlineStr">
        <is>
          <t>O7</t>
        </is>
      </c>
      <c r="D10" s="12" t="inlineStr">
        <is>
          <t>create marketing video in remotion</t>
        </is>
      </c>
      <c r="E10" s="6" t="n">
        <v>0.03</v>
      </c>
      <c r="F10" s="14" t="inlineStr"/>
    </row>
    <row r="11">
      <c r="A11" s="13" t="n">
        <v>46131</v>
      </c>
      <c r="B11" s="5" t="inlineStr">
        <is>
          <t>logged</t>
        </is>
      </c>
      <c r="C11" s="12" t="inlineStr">
        <is>
          <t>O7</t>
        </is>
      </c>
      <c r="D11" s="12" t="inlineStr">
        <is>
          <t>create marketing video in remotion</t>
        </is>
      </c>
      <c r="E11" s="6" t="n">
        <v>0.24</v>
      </c>
      <c r="F11" s="14" t="inlineStr"/>
    </row>
    <row r="12">
      <c r="A12" s="13" t="n">
        <v>46131</v>
      </c>
      <c r="B12" s="5" t="inlineStr">
        <is>
          <t>logged</t>
        </is>
      </c>
      <c r="C12" s="12" t="inlineStr">
        <is>
          <t>O7</t>
        </is>
      </c>
      <c r="D12" s="12" t="inlineStr">
        <is>
          <t>create marketing video in remotion</t>
        </is>
      </c>
      <c r="E12" s="6" t="n">
        <v>0.08</v>
      </c>
      <c r="F12" s="14" t="inlineStr"/>
    </row>
    <row r="13">
      <c r="A13" s="13" t="n">
        <v>46135</v>
      </c>
      <c r="B13" s="5" t="inlineStr">
        <is>
          <t>logged</t>
        </is>
      </c>
      <c r="C13" s="12" t="inlineStr">
        <is>
          <t>O7</t>
        </is>
      </c>
      <c r="D13" s="12" t="inlineStr">
        <is>
          <t>review Trevor's docs &amp; meet with him to discuss next steps</t>
        </is>
      </c>
      <c r="E13" s="6" t="n">
        <v>2.19</v>
      </c>
      <c r="F13" s="14" t="inlineStr"/>
    </row>
    <row r="14">
      <c r="A14" s="13" t="n">
        <v>46136</v>
      </c>
      <c r="B14" s="9" t="inlineStr">
        <is>
          <t>estimated</t>
        </is>
      </c>
      <c r="C14" s="12" t="inlineStr">
        <is>
          <t>O7</t>
        </is>
      </c>
      <c r="D14" s="12" t="inlineStr">
        <is>
          <t>Agent session 53d8367d (-Users-matthewkerns-workspace-ecommerce-ecommerce-tools-brand-systems-idea-brand-coach, 52 events)</t>
        </is>
      </c>
      <c r="E14" s="6" t="n">
        <v>0.633</v>
      </c>
      <c r="F14" s="14" t="inlineStr">
        <is>
          <t>estimated from JSONL active time (15-min idle cap)</t>
        </is>
      </c>
    </row>
    <row r="15">
      <c r="A15" s="13" t="n">
        <v>46136</v>
      </c>
      <c r="B15" s="9" t="inlineStr">
        <is>
          <t>estimated</t>
        </is>
      </c>
      <c r="C15" s="12" t="inlineStr">
        <is>
          <t>O7</t>
        </is>
      </c>
      <c r="D15" s="12" t="inlineStr">
        <is>
          <t>Agent session a754fbda (-Users-matthewkerns-workspace-ecommerce-ecommerce-tools-brand-systems-idea-brand-coach, 41 events)</t>
        </is>
      </c>
      <c r="E15" s="6" t="n">
        <v>0.34</v>
      </c>
      <c r="F15" s="14" t="inlineStr">
        <is>
          <t>estimated from JSONL active time (15-min idle cap)</t>
        </is>
      </c>
    </row>
    <row r="16">
      <c r="A16" s="13" t="n">
        <v>46136</v>
      </c>
      <c r="B16" s="5" t="inlineStr">
        <is>
          <t>logged</t>
        </is>
      </c>
      <c r="C16" s="12" t="inlineStr">
        <is>
          <t>O7</t>
        </is>
      </c>
      <c r="D16" s="12" t="inlineStr">
        <is>
          <t>investigate obsidian and autoresearch</t>
        </is>
      </c>
      <c r="E16" s="6" t="n">
        <v>0.2</v>
      </c>
      <c r="F16" s="14" t="inlineStr"/>
    </row>
    <row r="17">
      <c r="A17" s="13" t="n">
        <v>46136</v>
      </c>
      <c r="B17" s="5" t="inlineStr">
        <is>
          <t>logged</t>
        </is>
      </c>
      <c r="C17" s="12" t="inlineStr">
        <is>
          <t>O7</t>
        </is>
      </c>
      <c r="D17" s="12" t="inlineStr">
        <is>
          <t>investigate obsidian and autoresearch</t>
        </is>
      </c>
      <c r="E17" s="6" t="n">
        <v>0.25</v>
      </c>
      <c r="F17" s="14" t="inlineStr"/>
    </row>
    <row r="18">
      <c r="A18" s="13" t="n">
        <v>46140</v>
      </c>
      <c r="B18" s="5" t="inlineStr">
        <is>
          <t>logged</t>
        </is>
      </c>
      <c r="C18" s="12" t="inlineStr">
        <is>
          <t>O7</t>
        </is>
      </c>
      <c r="D18" s="12" t="inlineStr">
        <is>
          <t>use the app for InfinityVault branding funnel spreadsheet build out</t>
        </is>
      </c>
      <c r="E18" s="6" t="n">
        <v>0.03</v>
      </c>
      <c r="F18" s="14" t="inlineStr"/>
    </row>
    <row r="19">
      <c r="A19" s="13" t="n">
        <v>46141</v>
      </c>
      <c r="B19" s="5" t="inlineStr">
        <is>
          <t>logged</t>
        </is>
      </c>
      <c r="C19" s="12" t="inlineStr">
        <is>
          <t>O7</t>
        </is>
      </c>
      <c r="D19" s="12" t="inlineStr">
        <is>
          <t>brand funnel capture</t>
        </is>
      </c>
      <c r="E19" s="6" t="n">
        <v>0.21</v>
      </c>
      <c r="F19" s="14" t="inlineStr"/>
    </row>
    <row r="20">
      <c r="A20" s="13" t="n">
        <v>46145</v>
      </c>
      <c r="B20" s="5" t="inlineStr">
        <is>
          <t>logged</t>
        </is>
      </c>
      <c r="C20" s="12" t="inlineStr">
        <is>
          <t>O7</t>
        </is>
      </c>
      <c r="D20" s="12" t="inlineStr">
        <is>
          <t>Message Trevor</t>
        </is>
      </c>
      <c r="E20" s="6" t="n">
        <v>0.3</v>
      </c>
      <c r="F20" s="14" t="inlineStr"/>
    </row>
    <row r="21">
      <c r="A21" s="13" t="n">
        <v>46145</v>
      </c>
      <c r="B21" s="5" t="inlineStr">
        <is>
          <t>logged</t>
        </is>
      </c>
      <c r="C21" s="12" t="inlineStr">
        <is>
          <t>O7</t>
        </is>
      </c>
      <c r="D21" s="12" t="inlineStr">
        <is>
          <t>map out ideal case study</t>
        </is>
      </c>
      <c r="E21" s="6" t="n">
        <v>0.14</v>
      </c>
      <c r="F21" s="14" t="inlineStr"/>
    </row>
    <row r="22">
      <c r="A22" s="13" t="n">
        <v>46145</v>
      </c>
      <c r="B22" s="5" t="inlineStr">
        <is>
          <t>logged</t>
        </is>
      </c>
      <c r="C22" s="12" t="inlineStr">
        <is>
          <t>O7</t>
        </is>
      </c>
      <c r="D22" s="12" t="inlineStr">
        <is>
          <t>map out ideal case study</t>
        </is>
      </c>
      <c r="E22" s="6" t="n">
        <v>0.39</v>
      </c>
      <c r="F22" s="14" t="inlineStr"/>
    </row>
    <row r="23">
      <c r="A23" s="13" t="n">
        <v>46147</v>
      </c>
      <c r="B23" s="5" t="inlineStr">
        <is>
          <t>logged</t>
        </is>
      </c>
      <c r="C23" s="12" t="inlineStr">
        <is>
          <t>O7</t>
        </is>
      </c>
      <c r="D23" s="12" t="inlineStr">
        <is>
          <t>Reply to Trevor, review his mock ups</t>
        </is>
      </c>
      <c r="E23" s="6" t="n">
        <v>0.13</v>
      </c>
      <c r="F23" s="14" t="inlineStr"/>
    </row>
    <row r="24">
      <c r="A24" s="13" t="n">
        <v>46148</v>
      </c>
      <c r="B24" s="5" t="inlineStr">
        <is>
          <t>logged</t>
        </is>
      </c>
      <c r="C24" s="12" t="inlineStr">
        <is>
          <t>O7</t>
        </is>
      </c>
      <c r="D24" s="12" t="inlineStr">
        <is>
          <t>Meet with Trevor</t>
        </is>
      </c>
      <c r="E24" s="6" t="n">
        <v>1.35</v>
      </c>
      <c r="F24" s="14" t="inlineStr"/>
    </row>
    <row r="25">
      <c r="A25" s="13" t="n">
        <v>46148</v>
      </c>
      <c r="B25" s="5" t="inlineStr">
        <is>
          <t>logged</t>
        </is>
      </c>
      <c r="C25" s="12" t="inlineStr">
        <is>
          <t>O7</t>
        </is>
      </c>
      <c r="D25" s="12" t="inlineStr">
        <is>
          <t>Make skill that manages brand workspace sheet</t>
        </is>
      </c>
      <c r="E25" s="6" t="n">
        <v>0.17</v>
      </c>
      <c r="F25" s="14" t="inlineStr">
        <is>
          <t>review: unmatched -&gt; default O7</t>
        </is>
      </c>
    </row>
    <row r="26">
      <c r="A26" s="13" t="n">
        <v>46155</v>
      </c>
      <c r="B26" s="9" t="inlineStr">
        <is>
          <t>estimated</t>
        </is>
      </c>
      <c r="C26" s="12" t="inlineStr">
        <is>
          <t>O7</t>
        </is>
      </c>
      <c r="D26" s="12" t="inlineStr">
        <is>
          <t>Agent session 752b7d11 (-Users-matthewkerns-workspace-ecommerce-ecommerce-tools-brand-systems-idea-brand-coach, 438 events)</t>
        </is>
      </c>
      <c r="E26" s="6" t="n">
        <v>1.355</v>
      </c>
      <c r="F26" s="14" t="inlineStr">
        <is>
          <t>estimated from JSONL active time (15-min idle cap)</t>
        </is>
      </c>
    </row>
    <row r="27">
      <c r="A27" s="13" t="n">
        <v>46155</v>
      </c>
      <c r="B27" s="5" t="inlineStr">
        <is>
          <t>logged</t>
        </is>
      </c>
      <c r="C27" s="12" t="inlineStr">
        <is>
          <t>O7</t>
        </is>
      </c>
      <c r="D27" s="12" t="inlineStr">
        <is>
          <t>Review workbook, request dev agent progress report towards this planned outcome</t>
        </is>
      </c>
      <c r="E27" s="6" t="n">
        <v>0.01</v>
      </c>
      <c r="F27" s="14" t="inlineStr"/>
    </row>
    <row r="28">
      <c r="A28" s="13" t="n">
        <v>46155</v>
      </c>
      <c r="B28" s="5" t="inlineStr">
        <is>
          <t>logged</t>
        </is>
      </c>
      <c r="C28" s="12" t="inlineStr">
        <is>
          <t>O7</t>
        </is>
      </c>
      <c r="D28" s="12" t="inlineStr">
        <is>
          <t>Review workbook, request dev agent progress report towards this planned outcome</t>
        </is>
      </c>
      <c r="E28" s="6" t="n">
        <v>0.03</v>
      </c>
      <c r="F28" s="14" t="inlineStr"/>
    </row>
    <row r="29">
      <c r="A29" s="13" t="n">
        <v>46155</v>
      </c>
      <c r="B29" s="5" t="inlineStr">
        <is>
          <t>logged</t>
        </is>
      </c>
      <c r="C29" s="12" t="inlineStr">
        <is>
          <t>O7</t>
        </is>
      </c>
      <c r="D29" s="12" t="inlineStr">
        <is>
          <t>Review workbook, request dev agent progress report towards this planned outcome</t>
        </is>
      </c>
      <c r="E29" s="6" t="n">
        <v>0.22</v>
      </c>
      <c r="F29" s="14" t="inlineStr"/>
    </row>
    <row r="30">
      <c r="A30" s="13" t="n">
        <v>46155</v>
      </c>
      <c r="B30" s="5" t="inlineStr">
        <is>
          <t>logged</t>
        </is>
      </c>
      <c r="C30" s="12" t="inlineStr">
        <is>
          <t>O7</t>
        </is>
      </c>
      <c r="D30" s="12" t="inlineStr">
        <is>
          <t>Skim workbook with plan</t>
        </is>
      </c>
      <c r="E30" s="6" t="n">
        <v>0.05</v>
      </c>
      <c r="F30" s="14" t="inlineStr"/>
    </row>
    <row r="31">
      <c r="A31" s="13" t="n">
        <v>46155</v>
      </c>
      <c r="B31" s="5" t="inlineStr">
        <is>
          <t>logged</t>
        </is>
      </c>
      <c r="C31" s="12" t="inlineStr">
        <is>
          <t>O7</t>
        </is>
      </c>
      <c r="D31" s="12" t="inlineStr">
        <is>
          <t>build out spreadsheet with alpha beta and GA launch plan</t>
        </is>
      </c>
      <c r="E31" s="6" t="n">
        <v>0.24</v>
      </c>
      <c r="F31" s="14" t="inlineStr"/>
    </row>
    <row r="32">
      <c r="A32" s="13" t="n">
        <v>46155</v>
      </c>
      <c r="B32" s="5" t="inlineStr">
        <is>
          <t>logged</t>
        </is>
      </c>
      <c r="C32" s="12" t="inlineStr">
        <is>
          <t>O7</t>
        </is>
      </c>
      <c r="D32" s="12" t="inlineStr">
        <is>
          <t>Plan bare minimum beta readiness in a new thread with all available and relevant context - including my PRD</t>
        </is>
      </c>
      <c r="E32" s="6" t="n">
        <v>0.01</v>
      </c>
      <c r="F32" s="14" t="inlineStr"/>
    </row>
    <row r="33">
      <c r="A33" s="13" t="n">
        <v>46156</v>
      </c>
      <c r="B33" s="9" t="inlineStr">
        <is>
          <t>estimated</t>
        </is>
      </c>
      <c r="C33" s="12" t="inlineStr">
        <is>
          <t>O7</t>
        </is>
      </c>
      <c r="D33" s="12" t="inlineStr">
        <is>
          <t>Agent session e50443e0 (-Users-matthewkerns-workspace-ecommerce-ecommerce-tools-brand-systems-idea-brand-coach, 77 events)</t>
        </is>
      </c>
      <c r="E33" s="6" t="n">
        <v>0.647</v>
      </c>
      <c r="F33" s="14" t="inlineStr">
        <is>
          <t>estimated from JSONL active time (15-min idle cap)</t>
        </is>
      </c>
    </row>
    <row r="34">
      <c r="A34" s="13" t="n">
        <v>46158</v>
      </c>
      <c r="B34" s="5" t="inlineStr">
        <is>
          <t>logged</t>
        </is>
      </c>
      <c r="C34" s="12" t="inlineStr">
        <is>
          <t>O7</t>
        </is>
      </c>
      <c r="D34" s="12" t="inlineStr">
        <is>
          <t>send follow up about brand coach feedback loop</t>
        </is>
      </c>
      <c r="E34" s="6" t="n">
        <v>0.13</v>
      </c>
      <c r="F34" s="14" t="inlineStr"/>
    </row>
    <row r="35">
      <c r="A35" s="13" t="n">
        <v>46158</v>
      </c>
      <c r="B35" s="5" t="inlineStr">
        <is>
          <t>logged</t>
        </is>
      </c>
      <c r="C35" s="12" t="inlineStr">
        <is>
          <t>O7</t>
        </is>
      </c>
      <c r="D35" s="12" t="inlineStr">
        <is>
          <t>review updated workbook</t>
        </is>
      </c>
      <c r="E35" s="6" t="n">
        <v>0.23</v>
      </c>
      <c r="F35" s="14" t="inlineStr"/>
    </row>
    <row r="36">
      <c r="A36" s="13" t="n">
        <v>46158</v>
      </c>
      <c r="B36" s="5" t="inlineStr">
        <is>
          <t>logged</t>
        </is>
      </c>
      <c r="C36" s="12" t="inlineStr">
        <is>
          <t>O7</t>
        </is>
      </c>
      <c r="D36" s="12" t="inlineStr">
        <is>
          <t>integrate top problems we're solving for the user into the workbook</t>
        </is>
      </c>
      <c r="E36" s="6" t="n">
        <v>0.15</v>
      </c>
      <c r="F36" s="14" t="inlineStr"/>
    </row>
    <row r="37">
      <c r="A37" s="13" t="n">
        <v>46158</v>
      </c>
      <c r="B37" s="5" t="inlineStr">
        <is>
          <t>logged</t>
        </is>
      </c>
      <c r="C37" s="12" t="inlineStr">
        <is>
          <t>O7</t>
        </is>
      </c>
      <c r="D37" s="12" t="inlineStr">
        <is>
          <t>message Trevor, update feature workbook, send him Launch Roadmap + Feature workbook</t>
        </is>
      </c>
      <c r="E37" s="6" t="n">
        <v>0.43</v>
      </c>
      <c r="F37" s="14" t="inlineStr"/>
    </row>
    <row r="38">
      <c r="A38" s="13" t="n">
        <v>46158</v>
      </c>
      <c r="B38" s="5" t="inlineStr">
        <is>
          <t>logged</t>
        </is>
      </c>
      <c r="C38" s="12" t="inlineStr">
        <is>
          <t>O7</t>
        </is>
      </c>
      <c r="D38" s="12" t="inlineStr">
        <is>
          <t>write out todos</t>
        </is>
      </c>
      <c r="E38" s="6" t="n">
        <v>0.22</v>
      </c>
      <c r="F38" s="14" t="inlineStr"/>
    </row>
    <row r="39">
      <c r="A39" s="13" t="n">
        <v>46158</v>
      </c>
      <c r="B39" s="5" t="inlineStr">
        <is>
          <t>logged</t>
        </is>
      </c>
      <c r="C39" s="12" t="inlineStr">
        <is>
          <t>O7</t>
        </is>
      </c>
      <c r="D39" s="12" t="inlineStr">
        <is>
          <t>review spreadsheet and plan reply to Trevor</t>
        </is>
      </c>
      <c r="E39" s="6" t="n">
        <v>0.3</v>
      </c>
      <c r="F39" s="14" t="inlineStr"/>
    </row>
    <row r="40">
      <c r="A40" s="13" t="n">
        <v>46159</v>
      </c>
      <c r="B40" s="5" t="inlineStr">
        <is>
          <t>logged</t>
        </is>
      </c>
      <c r="C40" s="12" t="inlineStr">
        <is>
          <t>O7</t>
        </is>
      </c>
      <c r="D40" s="12" t="inlineStr">
        <is>
          <t>Run Trevor‘s document through my Claude thread for the marketing plan for the quarter</t>
        </is>
      </c>
      <c r="E40" s="6" t="n">
        <v>0.46</v>
      </c>
      <c r="F40" s="14" t="inlineStr"/>
    </row>
    <row r="41">
      <c r="A41" s="13" t="n">
        <v>46160</v>
      </c>
      <c r="B41" s="5" t="inlineStr">
        <is>
          <t>logged</t>
        </is>
      </c>
      <c r="C41" s="12" t="inlineStr">
        <is>
          <t>O7</t>
        </is>
      </c>
      <c r="D41" s="12" t="inlineStr">
        <is>
          <t>Reply to Trevor in whatsapp</t>
        </is>
      </c>
      <c r="E41" s="6" t="n">
        <v>0.19</v>
      </c>
      <c r="F41" s="14" t="inlineStr"/>
    </row>
    <row r="42">
      <c r="A42" s="13" t="n">
        <v>46166</v>
      </c>
      <c r="B42" s="5" t="inlineStr">
        <is>
          <t>logged</t>
        </is>
      </c>
      <c r="C42" s="12" t="inlineStr">
        <is>
          <t>O7</t>
        </is>
      </c>
      <c r="D42" s="12" t="inlineStr">
        <is>
          <t>Ramp up on brand coach project - review all recent context (last 3-4 meetings, local codebase recent changes, review for organizational updates, agentic tooling updates, and agent instruction file hierarchy management</t>
        </is>
      </c>
      <c r="E42" s="6" t="n">
        <v>0.05</v>
      </c>
      <c r="F42" s="14" t="inlineStr"/>
    </row>
    <row r="43">
      <c r="A43" s="13" t="n">
        <v>46167</v>
      </c>
      <c r="B43" s="9" t="inlineStr">
        <is>
          <t>estimated</t>
        </is>
      </c>
      <c r="C43" s="12" t="inlineStr">
        <is>
          <t>O7</t>
        </is>
      </c>
      <c r="D43" s="12" t="inlineStr">
        <is>
          <t>Agent session 47cf9ccc (planning, 155 events)</t>
        </is>
      </c>
      <c r="E43" s="6" t="n">
        <v>0.3</v>
      </c>
      <c r="F43" s="14" t="inlineStr">
        <is>
          <t>estimated from JSONL active time (15-min idle cap)</t>
        </is>
      </c>
    </row>
    <row r="44">
      <c r="A44" s="13" t="n">
        <v>46167</v>
      </c>
      <c r="B44" s="9" t="inlineStr">
        <is>
          <t>estimated</t>
        </is>
      </c>
      <c r="C44" s="12" t="inlineStr">
        <is>
          <t>O7</t>
        </is>
      </c>
      <c r="D44" s="12" t="inlineStr">
        <is>
          <t>Agent session 6c99fece (planning, 384 events)</t>
        </is>
      </c>
      <c r="E44" s="6" t="n">
        <v>1.068</v>
      </c>
      <c r="F44" s="14" t="inlineStr">
        <is>
          <t>estimated from JSONL active time (15-min idle cap)</t>
        </is>
      </c>
    </row>
    <row r="45">
      <c r="A45" s="13" t="n">
        <v>46167</v>
      </c>
      <c r="B45" s="9" t="inlineStr">
        <is>
          <t>estimated</t>
        </is>
      </c>
      <c r="C45" s="12" t="inlineStr">
        <is>
          <t>O7</t>
        </is>
      </c>
      <c r="D45" s="12" t="inlineStr">
        <is>
          <t>Agent session 9b9fb0d5 (planning, 223 events)</t>
        </is>
      </c>
      <c r="E45" s="6" t="n">
        <v>0.472</v>
      </c>
      <c r="F45" s="14" t="inlineStr">
        <is>
          <t>estimated from JSONL active time (15-min idle cap)</t>
        </is>
      </c>
    </row>
    <row r="46">
      <c r="A46" s="13" t="n">
        <v>46167</v>
      </c>
      <c r="B46" s="9" t="inlineStr">
        <is>
          <t>estimated</t>
        </is>
      </c>
      <c r="C46" s="12" t="inlineStr">
        <is>
          <t>O7</t>
        </is>
      </c>
      <c r="D46" s="12" t="inlineStr">
        <is>
          <t>Agent session 29a9c876 (tooling, 404 events)</t>
        </is>
      </c>
      <c r="E46" s="6" t="n">
        <v>1.238</v>
      </c>
      <c r="F46" s="14" t="inlineStr">
        <is>
          <t>estimated from JSONL active time (15-min idle cap)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56" customWidth="1" min="4" max="4"/>
    <col width="11" customWidth="1" min="5" max="5"/>
    <col width="13" customWidth="1" min="6" max="6"/>
    <col width="9" customWidth="1" min="7" max="7"/>
    <col width="13" customWidth="1" min="8" max="8"/>
    <col width="13" customWidth="1" min="9" max="9"/>
    <col width="15" customWidth="1" min="10" max="10"/>
    <col width="12" customWidth="1" min="11" max="11"/>
  </cols>
  <sheetData>
    <row r="1">
      <c r="A1" s="4" t="inlineStr">
        <is>
          <t>ID</t>
        </is>
      </c>
      <c r="B1" s="4" t="inlineStr">
        <is>
          <t>Objective</t>
        </is>
      </c>
      <c r="C1" s="4" t="inlineStr">
        <is>
          <t>Linked Features</t>
        </is>
      </c>
      <c r="D1" s="4" t="inlineStr">
        <is>
          <t>Description</t>
        </is>
      </c>
      <c r="E1" s="4" t="inlineStr">
        <is>
          <t>Phase</t>
        </is>
      </c>
      <c r="F1" s="4" t="inlineStr">
        <is>
          <t>Status</t>
        </is>
      </c>
      <c r="G1" s="4" t="inlineStr">
        <is>
          <t>Rollup %</t>
        </is>
      </c>
      <c r="H1" s="4" t="inlineStr">
        <is>
          <t>Hours Logged</t>
        </is>
      </c>
      <c r="I1" s="4" t="inlineStr">
        <is>
          <t>Hours Meeting</t>
        </is>
      </c>
      <c r="J1" s="4" t="inlineStr">
        <is>
          <t>Hours Estimated</t>
        </is>
      </c>
      <c r="K1" s="4" t="inlineStr">
        <is>
          <t>Hours Total</t>
        </is>
      </c>
    </row>
    <row r="2">
      <c r="A2" s="12" t="inlineStr">
        <is>
          <t>O1</t>
        </is>
      </c>
      <c r="B2" s="12" t="inlineStr">
        <is>
          <t>Diagnostic &amp; Trust Gap™</t>
        </is>
      </c>
      <c r="C2" s="12" t="inlineStr">
        <is>
          <t>F-001, F-002</t>
        </is>
      </c>
      <c r="D2" s="12" t="inlineStr">
        <is>
          <t>Layer 1 conversation: 10-question diagnostic + sidebar population/follow-up</t>
        </is>
      </c>
      <c r="E2" s="12" t="inlineStr">
        <is>
          <t>Alpha</t>
        </is>
      </c>
      <c r="F2" s="12" t="inlineStr">
        <is>
          <t>in_progress</t>
        </is>
      </c>
      <c r="G2" s="7" t="n">
        <v>0.3</v>
      </c>
      <c r="H2" s="6">
        <f>SUMIFS('Time Log'!$E$2:$E$46,'Time Log'!$C$2:$C$46,$A2,'Time Log'!$B$2:$B$46,"logged")</f>
        <v/>
      </c>
      <c r="I2" s="6">
        <f>SUMIFS('Time Log'!$E$2:$E$46,'Time Log'!$C$2:$C$46,$A2,'Time Log'!$B$2:$B$46,"meeting")</f>
        <v/>
      </c>
      <c r="J2" s="6">
        <f>SUMIFS('Time Log'!$E$2:$E$46,'Time Log'!$C$2:$C$46,$A2,'Time Log'!$B$2:$B$46,"estimated")</f>
        <v/>
      </c>
      <c r="K2" s="6">
        <f>SUM(H2:J2)</f>
        <v/>
      </c>
    </row>
    <row r="3">
      <c r="A3" s="12" t="inlineStr">
        <is>
          <t>O2</t>
        </is>
      </c>
      <c r="B3" s="12" t="inlineStr">
        <is>
          <t>Draft Canvas Synthesis</t>
        </is>
      </c>
      <c r="C3" s="12" t="inlineStr">
        <is>
          <t>F-003</t>
        </is>
      </c>
      <c r="D3" s="12" t="inlineStr">
        <is>
          <t>Synthesize Layer 1 answers into a draft brand canvas</t>
        </is>
      </c>
      <c r="E3" s="12" t="inlineStr">
        <is>
          <t>Alpha</t>
        </is>
      </c>
      <c r="F3" s="12" t="inlineStr">
        <is>
          <t>in_progress</t>
        </is>
      </c>
      <c r="G3" s="7" t="n">
        <v>0.42</v>
      </c>
      <c r="H3" s="6">
        <f>SUMIFS('Time Log'!$E$2:$E$46,'Time Log'!$C$2:$C$46,$A3,'Time Log'!$B$2:$B$46,"logged")</f>
        <v/>
      </c>
      <c r="I3" s="6">
        <f>SUMIFS('Time Log'!$E$2:$E$46,'Time Log'!$C$2:$C$46,$A3,'Time Log'!$B$2:$B$46,"meeting")</f>
        <v/>
      </c>
      <c r="J3" s="6">
        <f>SUMIFS('Time Log'!$E$2:$E$46,'Time Log'!$C$2:$C$46,$A3,'Time Log'!$B$2:$B$46,"estimated")</f>
        <v/>
      </c>
      <c r="K3" s="6">
        <f>SUM(H3:J3)</f>
        <v/>
      </c>
    </row>
    <row r="4">
      <c r="A4" s="12" t="inlineStr">
        <is>
          <t>O3</t>
        </is>
      </c>
      <c r="B4" s="12" t="inlineStr">
        <is>
          <t>Customer Insight Engine / Avatar Builder</t>
        </is>
      </c>
      <c r="C4" s="12" t="inlineStr">
        <is>
          <t>F-004, F-005, F-006</t>
        </is>
      </c>
      <c r="D4" s="12" t="inlineStr">
        <is>
          <t>Avatar Builder sections 1-4, AI assistance, confidence scoring &amp; edit lock</t>
        </is>
      </c>
      <c r="E4" s="12" t="inlineStr">
        <is>
          <t>Alpha/Beta</t>
        </is>
      </c>
      <c r="F4" s="12" t="inlineStr">
        <is>
          <t>in_progress</t>
        </is>
      </c>
      <c r="G4" s="7" t="n">
        <v>0.45</v>
      </c>
      <c r="H4" s="6">
        <f>SUMIFS('Time Log'!$E$2:$E$46,'Time Log'!$C$2:$C$46,$A4,'Time Log'!$B$2:$B$46,"logged")</f>
        <v/>
      </c>
      <c r="I4" s="6">
        <f>SUMIFS('Time Log'!$E$2:$E$46,'Time Log'!$C$2:$C$46,$A4,'Time Log'!$B$2:$B$46,"meeting")</f>
        <v/>
      </c>
      <c r="J4" s="6">
        <f>SUMIFS('Time Log'!$E$2:$E$46,'Time Log'!$C$2:$C$46,$A4,'Time Log'!$B$2:$B$46,"estimated")</f>
        <v/>
      </c>
      <c r="K4" s="6">
        <f>SUM(H4:J4)</f>
        <v/>
      </c>
    </row>
    <row r="5">
      <c r="A5" s="12" t="inlineStr">
        <is>
          <t>O4</t>
        </is>
      </c>
      <c r="B5" s="12" t="inlineStr">
        <is>
          <t>The Signature &amp; Coach Mode v2</t>
        </is>
      </c>
      <c r="C5" s="12" t="inlineStr">
        <is>
          <t>F-009</t>
        </is>
      </c>
      <c r="D5" s="12" t="inlineStr">
        <is>
          <t>Stage 5 retention output: brand voice guide, Amazon listing copy</t>
        </is>
      </c>
      <c r="E5" s="12" t="inlineStr">
        <is>
          <t>Beta</t>
        </is>
      </c>
      <c r="F5" s="12" t="inlineStr">
        <is>
          <t>in_progress</t>
        </is>
      </c>
      <c r="G5" s="7" t="n">
        <v>0.45</v>
      </c>
      <c r="H5" s="6">
        <f>SUMIFS('Time Log'!$E$2:$E$46,'Time Log'!$C$2:$C$46,$A5,'Time Log'!$B$2:$B$46,"logged")</f>
        <v/>
      </c>
      <c r="I5" s="6">
        <f>SUMIFS('Time Log'!$E$2:$E$46,'Time Log'!$C$2:$C$46,$A5,'Time Log'!$B$2:$B$46,"meeting")</f>
        <v/>
      </c>
      <c r="J5" s="6">
        <f>SUMIFS('Time Log'!$E$2:$E$46,'Time Log'!$C$2:$C$46,$A5,'Time Log'!$B$2:$B$46,"estimated")</f>
        <v/>
      </c>
      <c r="K5" s="6">
        <f>SUM(H5:J5)</f>
        <v/>
      </c>
    </row>
    <row r="6">
      <c r="A6" s="12" t="inlineStr">
        <is>
          <t>O5</t>
        </is>
      </c>
      <c r="B6" s="12" t="inlineStr">
        <is>
          <t>Export &amp; Deliverables</t>
        </is>
      </c>
      <c r="C6" s="12" t="inlineStr">
        <is>
          <t>F-007</t>
        </is>
      </c>
      <c r="D6" s="12" t="inlineStr">
        <is>
          <t>PDF / Word / Markdown export of brand strategy</t>
        </is>
      </c>
      <c r="E6" s="12" t="inlineStr">
        <is>
          <t>Beta</t>
        </is>
      </c>
      <c r="F6" s="12" t="inlineStr">
        <is>
          <t>in_progress</t>
        </is>
      </c>
      <c r="G6" s="7" t="n">
        <v>0.72</v>
      </c>
      <c r="H6" s="6">
        <f>SUMIFS('Time Log'!$E$2:$E$46,'Time Log'!$C$2:$C$46,$A6,'Time Log'!$B$2:$B$46,"logged")</f>
        <v/>
      </c>
      <c r="I6" s="6">
        <f>SUMIFS('Time Log'!$E$2:$E$46,'Time Log'!$C$2:$C$46,$A6,'Time Log'!$B$2:$B$46,"meeting")</f>
        <v/>
      </c>
      <c r="J6" s="6">
        <f>SUMIFS('Time Log'!$E$2:$E$46,'Time Log'!$C$2:$C$46,$A6,'Time Log'!$B$2:$B$46,"estimated")</f>
        <v/>
      </c>
      <c r="K6" s="6">
        <f>SUM(H6:J6)</f>
        <v/>
      </c>
    </row>
    <row r="7">
      <c r="A7" s="12" t="inlineStr">
        <is>
          <t>O6</t>
        </is>
      </c>
      <c r="B7" s="12" t="inlineStr">
        <is>
          <t>Monetization / Pay Gate</t>
        </is>
      </c>
      <c r="C7" s="12" t="inlineStr">
        <is>
          <t>F-008</t>
        </is>
      </c>
      <c r="D7" s="12" t="inlineStr">
        <is>
          <t>Stripe pay gate before premium outputs</t>
        </is>
      </c>
      <c r="E7" s="12" t="inlineStr">
        <is>
          <t>GA</t>
        </is>
      </c>
      <c r="F7" s="12" t="inlineStr">
        <is>
          <t>not_started</t>
        </is>
      </c>
      <c r="G7" s="7" t="n">
        <v>0</v>
      </c>
      <c r="H7" s="6">
        <f>SUMIFS('Time Log'!$E$2:$E$46,'Time Log'!$C$2:$C$46,$A7,'Time Log'!$B$2:$B$46,"logged")</f>
        <v/>
      </c>
      <c r="I7" s="6">
        <f>SUMIFS('Time Log'!$E$2:$E$46,'Time Log'!$C$2:$C$46,$A7,'Time Log'!$B$2:$B$46,"meeting")</f>
        <v/>
      </c>
      <c r="J7" s="6">
        <f>SUMIFS('Time Log'!$E$2:$E$46,'Time Log'!$C$2:$C$46,$A7,'Time Log'!$B$2:$B$46,"estimated")</f>
        <v/>
      </c>
      <c r="K7" s="6">
        <f>SUM(H7:J7)</f>
        <v/>
      </c>
    </row>
    <row r="8">
      <c r="A8" s="12" t="inlineStr">
        <is>
          <t>O7</t>
        </is>
      </c>
      <c r="B8" s="12" t="inlineStr">
        <is>
          <t>Launch &amp; Strategy</t>
        </is>
      </c>
      <c r="C8" s="12" t="inlineStr">
        <is>
          <t>—</t>
        </is>
      </c>
      <c r="D8" s="12" t="inlineStr">
        <is>
          <t>Alpha-&gt;Beta-&gt;GA gates, ideabrandcoach.com site, TikTok-conditional, Trevor sync, roadmap/context upkeep</t>
        </is>
      </c>
      <c r="E8" s="12" t="inlineStr">
        <is>
          <t>All</t>
        </is>
      </c>
      <c r="F8" s="12" t="inlineStr">
        <is>
          <t>in_progress</t>
        </is>
      </c>
      <c r="G8" s="12" t="inlineStr">
        <is>
          <t>n/a</t>
        </is>
      </c>
      <c r="H8" s="6">
        <f>SUMIFS('Time Log'!$E$2:$E$46,'Time Log'!$C$2:$C$46,$A8,'Time Log'!$B$2:$B$46,"logged")</f>
        <v/>
      </c>
      <c r="I8" s="6">
        <f>SUMIFS('Time Log'!$E$2:$E$46,'Time Log'!$C$2:$C$46,$A8,'Time Log'!$B$2:$B$46,"meeting")</f>
        <v/>
      </c>
      <c r="J8" s="6">
        <f>SUMIFS('Time Log'!$E$2:$E$46,'Time Log'!$C$2:$C$46,$A8,'Time Log'!$B$2:$B$46,"estimated")</f>
        <v/>
      </c>
      <c r="K8" s="6">
        <f>SUM(H8:J8)</f>
        <v/>
      </c>
    </row>
    <row r="9">
      <c r="B9" s="3" t="inlineStr">
        <is>
          <t>TOTAL</t>
        </is>
      </c>
      <c r="H9" s="15">
        <f>SUM(H2:H8)</f>
        <v/>
      </c>
      <c r="I9" s="15">
        <f>SUM(I2:I8)</f>
        <v/>
      </c>
      <c r="J9" s="15">
        <f>SUM(J2:J8)</f>
        <v/>
      </c>
      <c r="K9" s="15">
        <f>SUM(K2:K8)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42" customWidth="1" min="4" max="4"/>
    <col width="12" customWidth="1" min="5" max="5"/>
    <col width="13" customWidth="1" min="6" max="6"/>
    <col width="10" customWidth="1" min="7" max="7"/>
  </cols>
  <sheetData>
    <row r="1">
      <c r="A1" s="4" t="inlineStr">
        <is>
          <t>Date</t>
        </is>
      </c>
      <c r="B1" s="4" t="inlineStr">
        <is>
          <t>Title</t>
        </is>
      </c>
      <c r="C1" s="4" t="inlineStr">
        <is>
          <t>Recording ID</t>
        </is>
      </c>
      <c r="D1" s="4" t="inlineStr">
        <is>
          <t>URL</t>
        </is>
      </c>
      <c r="E1" s="4" t="inlineStr">
        <is>
          <t>Duration (h)</t>
        </is>
      </c>
      <c r="F1" s="4" t="inlineStr">
        <is>
          <t>In Clockify?</t>
        </is>
      </c>
      <c r="G1" s="4" t="inlineStr">
        <is>
          <t>Objective</t>
        </is>
      </c>
    </row>
    <row r="2">
      <c r="A2" s="13" t="n">
        <v>46148</v>
      </c>
      <c r="B2" s="12" t="inlineStr">
        <is>
          <t>Impromptu Zoom — Gen 3 mockup review</t>
        </is>
      </c>
      <c r="C2" s="12" t="n">
        <v>144128256</v>
      </c>
      <c r="D2" s="12" t="inlineStr">
        <is>
          <t>https://fathom.video/calls/664335828</t>
        </is>
      </c>
      <c r="E2" s="6" t="n">
        <v>1.35</v>
      </c>
      <c r="F2" s="5" t="inlineStr">
        <is>
          <t>Y</t>
        </is>
      </c>
      <c r="G2" s="12" t="inlineStr">
        <is>
          <t>O7</t>
        </is>
      </c>
    </row>
    <row r="3">
      <c r="A3" s="13" t="n">
        <v>46135</v>
      </c>
      <c r="B3" s="12" t="inlineStr">
        <is>
          <t>4/23 IDEA Brand Coach Part 2</t>
        </is>
      </c>
      <c r="C3" s="12" t="n">
        <v>140691318</v>
      </c>
      <c r="D3" s="12" t="inlineStr">
        <is>
          <t>https://fathom.video/calls/649154125</t>
        </is>
      </c>
      <c r="E3" s="6" t="n">
        <v>1.1</v>
      </c>
      <c r="F3" s="5" t="inlineStr">
        <is>
          <t>Y</t>
        </is>
      </c>
      <c r="G3" s="12" t="inlineStr">
        <is>
          <t>O7</t>
        </is>
      </c>
    </row>
    <row r="4">
      <c r="A4" s="13" t="n">
        <v>46135</v>
      </c>
      <c r="B4" s="12" t="inlineStr">
        <is>
          <t>4/23 IDEA Brand Coach Part 1</t>
        </is>
      </c>
      <c r="C4" s="12" t="n">
        <v>140678453</v>
      </c>
      <c r="D4" s="12" t="inlineStr">
        <is>
          <t>https://fathom.video/calls/649118151</t>
        </is>
      </c>
      <c r="E4" s="6" t="n">
        <v>1</v>
      </c>
      <c r="F4" s="5" t="inlineStr">
        <is>
          <t>Y</t>
        </is>
      </c>
      <c r="G4" s="12" t="inlineStr">
        <is>
          <t>O7</t>
        </is>
      </c>
    </row>
    <row r="5">
      <c r="A5" s="13" t="n">
        <v>46099</v>
      </c>
      <c r="B5" s="12" t="inlineStr">
        <is>
          <t>IDEA Brand Coach Sync Up</t>
        </is>
      </c>
      <c r="C5" s="12" t="n">
        <v>130896361</v>
      </c>
      <c r="D5" s="12" t="inlineStr">
        <is>
          <t>https://fathom.video/calls/605088052</t>
        </is>
      </c>
      <c r="E5" s="6" t="n">
        <v>1.4</v>
      </c>
      <c r="F5" s="16" t="inlineStr">
        <is>
          <t>N</t>
        </is>
      </c>
      <c r="G5" s="12" t="inlineStr">
        <is>
          <t>O7</t>
        </is>
      </c>
    </row>
    <row r="6">
      <c r="A6" s="13" t="n">
        <v>46086</v>
      </c>
      <c r="B6" s="12" t="inlineStr">
        <is>
          <t>Impromptu Google Meet — pivot to conversational AI coach</t>
        </is>
      </c>
      <c r="C6" s="12" t="n">
        <v>127607831</v>
      </c>
      <c r="D6" s="12" t="inlineStr">
        <is>
          <t>https://fathom.video/calls/590988739</t>
        </is>
      </c>
      <c r="E6" s="6" t="n">
        <v>0.6</v>
      </c>
      <c r="F6" s="16" t="inlineStr">
        <is>
          <t>N</t>
        </is>
      </c>
      <c r="G6" s="12" t="inlineStr">
        <is>
          <t>O7</t>
        </is>
      </c>
    </row>
    <row r="7">
      <c r="A7" s="13" t="n">
        <v>46086</v>
      </c>
      <c r="B7" s="12" t="inlineStr">
        <is>
          <t>Impromptu Zoom — refine value prop &amp; IDEA workflow</t>
        </is>
      </c>
      <c r="C7" s="12" t="n">
        <v>127583497</v>
      </c>
      <c r="D7" s="12" t="inlineStr">
        <is>
          <t>https://fathom.video/calls/590934937</t>
        </is>
      </c>
      <c r="E7" s="6" t="n">
        <v>0.7</v>
      </c>
      <c r="F7" s="16" t="inlineStr">
        <is>
          <t>N</t>
        </is>
      </c>
      <c r="G7" s="12" t="inlineStr">
        <is>
          <t>O7</t>
        </is>
      </c>
    </row>
    <row r="9">
      <c r="B9" s="2" t="inlineStr">
        <is>
          <t>N = meeting time NOT in Clockify (added as 'meeting' hours). Y = already counted in Clockify (reference only).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9" customWidth="1" min="4" max="4"/>
    <col width="16" customWidth="1" min="5" max="5"/>
    <col width="10" customWidth="1" min="6" max="6"/>
  </cols>
  <sheetData>
    <row r="1">
      <c r="A1" s="4" t="inlineStr">
        <is>
          <t>Date</t>
        </is>
      </c>
      <c r="B1" s="4" t="inlineStr">
        <is>
          <t>Session ID</t>
        </is>
      </c>
      <c r="C1" s="4" t="inlineStr">
        <is>
          <t>Worktree</t>
        </is>
      </c>
      <c r="D1" s="4" t="inlineStr">
        <is>
          <t>Events</t>
        </is>
      </c>
      <c r="E1" s="4" t="inlineStr">
        <is>
          <t>Active (h, est.)</t>
        </is>
      </c>
      <c r="F1" s="4" t="inlineStr">
        <is>
          <t>Objective</t>
        </is>
      </c>
    </row>
    <row r="2">
      <c r="A2" s="13" t="n">
        <v>46167</v>
      </c>
      <c r="B2" s="12" t="inlineStr">
        <is>
          <t>47cf9ccc</t>
        </is>
      </c>
      <c r="C2" s="12" t="inlineStr">
        <is>
          <t>planning</t>
        </is>
      </c>
      <c r="D2" s="12" t="n">
        <v>155</v>
      </c>
      <c r="E2" s="6" t="n">
        <v>0.3</v>
      </c>
      <c r="F2" s="12" t="inlineStr">
        <is>
          <t>O7</t>
        </is>
      </c>
    </row>
    <row r="3">
      <c r="A3" s="13" t="n">
        <v>46167</v>
      </c>
      <c r="B3" s="12" t="inlineStr">
        <is>
          <t>6c99fece</t>
        </is>
      </c>
      <c r="C3" s="12" t="inlineStr">
        <is>
          <t>planning</t>
        </is>
      </c>
      <c r="D3" s="12" t="n">
        <v>384</v>
      </c>
      <c r="E3" s="6" t="n">
        <v>1.068</v>
      </c>
      <c r="F3" s="12" t="inlineStr">
        <is>
          <t>O7</t>
        </is>
      </c>
    </row>
    <row r="4">
      <c r="A4" s="13" t="n">
        <v>46167</v>
      </c>
      <c r="B4" s="12" t="inlineStr">
        <is>
          <t>9b9fb0d5</t>
        </is>
      </c>
      <c r="C4" s="12" t="inlineStr">
        <is>
          <t>planning</t>
        </is>
      </c>
      <c r="D4" s="12" t="n">
        <v>223</v>
      </c>
      <c r="E4" s="6" t="n">
        <v>0.472</v>
      </c>
      <c r="F4" s="12" t="inlineStr">
        <is>
          <t>O7</t>
        </is>
      </c>
    </row>
    <row r="5">
      <c r="A5" s="13" t="n">
        <v>46167</v>
      </c>
      <c r="B5" s="12" t="inlineStr">
        <is>
          <t>29a9c876</t>
        </is>
      </c>
      <c r="C5" s="12" t="inlineStr">
        <is>
          <t>tooling</t>
        </is>
      </c>
      <c r="D5" s="12" t="n">
        <v>404</v>
      </c>
      <c r="E5" s="6" t="n">
        <v>1.238</v>
      </c>
      <c r="F5" s="12" t="inlineStr">
        <is>
          <t>O7</t>
        </is>
      </c>
    </row>
    <row r="6">
      <c r="A6" s="13" t="n">
        <v>46156</v>
      </c>
      <c r="B6" s="12" t="inlineStr">
        <is>
          <t>e50443e0</t>
        </is>
      </c>
      <c r="C6" s="12" t="inlineStr">
        <is>
          <t>-Users-matthewkerns-workspace-ecommerce-ecommerce-tools-brand-systems-idea-brand-coach</t>
        </is>
      </c>
      <c r="D6" s="12" t="n">
        <v>77</v>
      </c>
      <c r="E6" s="6" t="n">
        <v>0.647</v>
      </c>
      <c r="F6" s="12" t="inlineStr">
        <is>
          <t>O7</t>
        </is>
      </c>
    </row>
    <row r="7">
      <c r="A7" s="13" t="n">
        <v>46155</v>
      </c>
      <c r="B7" s="12" t="inlineStr">
        <is>
          <t>752b7d11</t>
        </is>
      </c>
      <c r="C7" s="12" t="inlineStr">
        <is>
          <t>-Users-matthewkerns-workspace-ecommerce-ecommerce-tools-brand-systems-idea-brand-coach</t>
        </is>
      </c>
      <c r="D7" s="12" t="n">
        <v>438</v>
      </c>
      <c r="E7" s="6" t="n">
        <v>1.355</v>
      </c>
      <c r="F7" s="12" t="inlineStr">
        <is>
          <t>O7</t>
        </is>
      </c>
    </row>
    <row r="8">
      <c r="A8" s="13" t="n">
        <v>46136</v>
      </c>
      <c r="B8" s="12" t="inlineStr">
        <is>
          <t>53d8367d</t>
        </is>
      </c>
      <c r="C8" s="12" t="inlineStr">
        <is>
          <t>-Users-matthewkerns-workspace-ecommerce-ecommerce-tools-brand-systems-idea-brand-coach</t>
        </is>
      </c>
      <c r="D8" s="12" t="n">
        <v>52</v>
      </c>
      <c r="E8" s="6" t="n">
        <v>0.633</v>
      </c>
      <c r="F8" s="12" t="inlineStr">
        <is>
          <t>O7</t>
        </is>
      </c>
    </row>
    <row r="9">
      <c r="A9" s="13" t="n">
        <v>46136</v>
      </c>
      <c r="B9" s="12" t="inlineStr">
        <is>
          <t>a754fbda</t>
        </is>
      </c>
      <c r="C9" s="12" t="inlineStr">
        <is>
          <t>-Users-matthewkerns-workspace-ecommerce-ecommerce-tools-brand-systems-idea-brand-coach</t>
        </is>
      </c>
      <c r="D9" s="12" t="n">
        <v>41</v>
      </c>
      <c r="E9" s="6" t="n">
        <v>0.34</v>
      </c>
      <c r="F9" s="12" t="inlineStr">
        <is>
          <t>O7</t>
        </is>
      </c>
    </row>
    <row r="10">
      <c r="D10" s="3" t="inlineStr">
        <is>
          <t>TOTAL</t>
        </is>
      </c>
      <c r="E10" s="15">
        <f>SUM(E2:E9)</f>
        <v/>
      </c>
    </row>
    <row r="11">
      <c r="B11" s="2" t="inlineStr">
        <is>
          <t>Active time = sum of inter-event gaps, capped at 15 min/gap. Under-counts: subagent work is not in top-level 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0" customWidth="1" min="3" max="3"/>
  </cols>
  <sheetData>
    <row r="1">
      <c r="A1" s="4" t="inlineStr">
        <is>
          <t>Date</t>
        </is>
      </c>
      <c r="B1" s="4" t="inlineStr">
        <is>
          <t>Version</t>
        </is>
      </c>
      <c r="C1" s="4" t="inlineStr">
        <is>
          <t>Change</t>
        </is>
      </c>
    </row>
    <row r="2">
      <c r="A2" s="17" t="n">
        <v>46167</v>
      </c>
      <c r="B2" t="inlineStr">
        <is>
          <t>v1.0</t>
        </is>
      </c>
      <c r="C2" t="inlineStr">
        <is>
          <t>Initial build: 7 strategic objectives; time triangulated from Clockify (logged) + Fathom (meeting) + JSONL (estimated).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2026-05-25T14:53:33Z</dcterms:created>
  <dcterms:modified xsi:type="dcterms:W3CDTF">2026-05-25T14:53:34Z</dcterms:modified>
</cp:coreProperties>
</file>