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blems" sheetId="2" state="visible" r:id="rId2"/>
    <sheet name="Features" sheetId="3" state="visible" r:id="rId3"/>
    <sheet name="Sub-features" sheetId="4" state="visible" r:id="rId4"/>
    <sheet name="Phase Gate" sheetId="5" state="visible" r:id="rId5"/>
    <sheet name="Brand Needs" sheetId="6" state="visible" r:id="rId6"/>
    <sheet name="Risks" sheetId="7" state="visible" r:id="rId7"/>
    <sheet name="Change 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b val="1"/>
      <color rgb="FFFFFFFF"/>
      <sz val="11"/>
    </font>
    <font>
      <name val="Arial"/>
      <sz val="10"/>
    </font>
    <font>
      <name val="Arial"/>
      <b val="1"/>
      <color rgb="FF111111"/>
      <sz val="11"/>
    </font>
  </fonts>
  <fills count="5">
    <fill>
      <patternFill/>
    </fill>
    <fill>
      <patternFill patternType="gray125"/>
    </fill>
    <fill>
      <patternFill patternType="solid">
        <fgColor rgb="FFD4960A"/>
      </patternFill>
    </fill>
    <fill>
      <patternFill patternType="solid">
        <fgColor rgb="FF111111"/>
      </patternFill>
    </fill>
    <fill>
      <patternFill patternType="solid">
        <fgColor rgb="FFFEF5D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vertical="top" wrapText="1"/>
    </xf>
    <xf numFmtId="9" fontId="3" fillId="0" borderId="1" applyAlignment="1" pivotButton="0" quotePrefix="0" xfId="0">
      <alignment vertical="top" wrapText="1"/>
    </xf>
    <xf numFmtId="0" fontId="4" fillId="4" borderId="0" applyAlignment="1" pivotButton="0" quotePrefix="0" xfId="0">
      <alignment horizontal="left" vertical="center" indent="1"/>
    </xf>
    <xf numFmtId="1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</cellXfs>
  <cellStyles count="1">
    <cellStyle name="Normal" xfId="0" builtinId="0" hidden="0"/>
  </cellStyles>
  <dxfs count="6">
    <dxf>
      <fill>
        <patternFill patternType="solid">
          <fgColor rgb="FFF8CBAD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757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4" customWidth="1" min="4" max="4"/>
    <col width="12" customWidth="1" min="5" max="5"/>
    <col width="14" customWidth="1" min="6" max="6"/>
    <col width="18" customWidth="1" min="7" max="7"/>
    <col width="14" customWidth="1" min="8" max="8"/>
  </cols>
  <sheetData>
    <row r="1" ht="32" customHeight="1">
      <c r="A1" s="1" t="inlineStr">
        <is>
          <t>Summary — feature readiness by launch phase</t>
        </is>
      </c>
    </row>
    <row r="2">
      <c r="A2" s="2" t="inlineStr">
        <is>
          <t>Live rollup from the Features sheet. Status column derives on-track / at-risk / blocked from the underlying data.</t>
        </is>
      </c>
    </row>
    <row r="4" ht="28" customHeight="1">
      <c r="A4" s="3" t="inlineStr">
        <is>
          <t>phase</t>
        </is>
      </c>
      <c r="B4" s="3" t="inlineStr">
        <is>
          <t>features_required</t>
        </is>
      </c>
      <c r="C4" s="3" t="inlineStr">
        <is>
          <t>complete</t>
        </is>
      </c>
      <c r="D4" s="3" t="inlineStr">
        <is>
          <t>in_progress</t>
        </is>
      </c>
      <c r="E4" s="3" t="inlineStr">
        <is>
          <t>blocked</t>
        </is>
      </c>
      <c r="F4" s="3" t="inlineStr">
        <is>
          <t>not_started</t>
        </is>
      </c>
      <c r="G4" s="3" t="inlineStr">
        <is>
          <t>percent_complete</t>
        </is>
      </c>
      <c r="H4" s="3" t="inlineStr">
        <is>
          <t>status</t>
        </is>
      </c>
    </row>
    <row r="5">
      <c r="A5" s="4" t="inlineStr">
        <is>
          <t>Alpha</t>
        </is>
      </c>
      <c r="B5" s="4">
        <f>COUNTIF('Features'!$E$3:$E$72,"Alpha")</f>
        <v/>
      </c>
      <c r="C5" s="4">
        <f>COUNTIFS('Features'!$E$3:$E$72,"Alpha",'Features'!$G$3:$G$72,"complete")</f>
        <v/>
      </c>
      <c r="D5" s="4">
        <f>COUNTIFS('Features'!$E$3:$E$72,"Alpha",'Features'!$G$3:$G$72,"in_progress")+COUNTIFS('Features'!$E$3:$E$72,"Alpha",'Features'!$G$3:$G$72,"in_review")</f>
        <v/>
      </c>
      <c r="E5" s="4">
        <f>COUNTIFS('Features'!$E$3:$E$72,"Alpha",'Features'!$G$3:$G$72,"blocked")</f>
        <v/>
      </c>
      <c r="F5" s="4">
        <f>COUNTIFS('Features'!$E$3:$E$72,"Alpha",'Features'!$G$3:$G$72,"not_started")</f>
        <v/>
      </c>
      <c r="G5" s="5">
        <f>IFERROR(ROUND(SUMIFS('Features'!$H$3:$H$72,'Features'!$E$3:$E$72,"Alpha")/(B5*100),3),0)</f>
        <v/>
      </c>
      <c r="H5" s="4">
        <f>IF(E5&gt;0,"BLOCKED",IF(G5&gt;=0.9,"ON-TRACK",IF(G5&gt;=0.5,"AT-RISK",IF(B5=0,"N/A","AT-RISK"))))</f>
        <v/>
      </c>
    </row>
    <row r="6">
      <c r="A6" s="4" t="inlineStr">
        <is>
          <t>Beta</t>
        </is>
      </c>
      <c r="B6" s="4">
        <f>COUNTIF('Features'!$E$3:$E$72,"Beta")</f>
        <v/>
      </c>
      <c r="C6" s="4">
        <f>COUNTIFS('Features'!$E$3:$E$72,"Beta",'Features'!$G$3:$G$72,"complete")</f>
        <v/>
      </c>
      <c r="D6" s="4">
        <f>COUNTIFS('Features'!$E$3:$E$72,"Beta",'Features'!$G$3:$G$72,"in_progress")+COUNTIFS('Features'!$E$3:$E$72,"Beta",'Features'!$G$3:$G$72,"in_review")</f>
        <v/>
      </c>
      <c r="E6" s="4">
        <f>COUNTIFS('Features'!$E$3:$E$72,"Beta",'Features'!$G$3:$G$72,"blocked")</f>
        <v/>
      </c>
      <c r="F6" s="4">
        <f>COUNTIFS('Features'!$E$3:$E$72,"Beta",'Features'!$G$3:$G$72,"not_started")</f>
        <v/>
      </c>
      <c r="G6" s="5">
        <f>IFERROR(ROUND(SUMIFS('Features'!$H$3:$H$72,'Features'!$E$3:$E$72,"Beta")/(B6*100),3),0)</f>
        <v/>
      </c>
      <c r="H6" s="4">
        <f>IF(E6&gt;0,"BLOCKED",IF(G6&gt;=0.9,"ON-TRACK",IF(G6&gt;=0.5,"AT-RISK",IF(B6=0,"N/A","AT-RISK"))))</f>
        <v/>
      </c>
    </row>
    <row r="7">
      <c r="A7" s="4" t="inlineStr">
        <is>
          <t>GA</t>
        </is>
      </c>
      <c r="B7" s="4">
        <f>COUNTIF('Features'!$E$3:$E$72,"GA")</f>
        <v/>
      </c>
      <c r="C7" s="4">
        <f>COUNTIFS('Features'!$E$3:$E$72,"GA",'Features'!$G$3:$G$72,"complete")</f>
        <v/>
      </c>
      <c r="D7" s="4">
        <f>COUNTIFS('Features'!$E$3:$E$72,"GA",'Features'!$G$3:$G$72,"in_progress")+COUNTIFS('Features'!$E$3:$E$72,"GA",'Features'!$G$3:$G$72,"in_review")</f>
        <v/>
      </c>
      <c r="E7" s="4">
        <f>COUNTIFS('Features'!$E$3:$E$72,"GA",'Features'!$G$3:$G$72,"blocked")</f>
        <v/>
      </c>
      <c r="F7" s="4">
        <f>COUNTIFS('Features'!$E$3:$E$72,"GA",'Features'!$G$3:$G$72,"not_started")</f>
        <v/>
      </c>
      <c r="G7" s="5">
        <f>IFERROR(ROUND(SUMIFS('Features'!$H$3:$H$72,'Features'!$E$3:$E$72,"GA")/(B7*100),3),0)</f>
        <v/>
      </c>
      <c r="H7" s="4">
        <f>IF(E7&gt;0,"BLOCKED",IF(G7&gt;=0.9,"ON-TRACK",IF(G7&gt;=0.5,"AT-RISK",IF(B7=0,"N/A","AT-RISK"))))</f>
        <v/>
      </c>
    </row>
    <row r="8">
      <c r="A8" s="4" t="inlineStr">
        <is>
          <t>Post-GA</t>
        </is>
      </c>
      <c r="B8" s="4">
        <f>COUNTIF('Features'!$E$3:$E$72,"Post-GA")</f>
        <v/>
      </c>
      <c r="C8" s="4">
        <f>COUNTIFS('Features'!$E$3:$E$72,"Post-GA",'Features'!$G$3:$G$72,"complete")</f>
        <v/>
      </c>
      <c r="D8" s="4">
        <f>COUNTIFS('Features'!$E$3:$E$72,"Post-GA",'Features'!$G$3:$G$72,"in_progress")+COUNTIFS('Features'!$E$3:$E$72,"Post-GA",'Features'!$G$3:$G$72,"in_review")</f>
        <v/>
      </c>
      <c r="E8" s="4">
        <f>COUNTIFS('Features'!$E$3:$E$72,"Post-GA",'Features'!$G$3:$G$72,"blocked")</f>
        <v/>
      </c>
      <c r="F8" s="4">
        <f>COUNTIFS('Features'!$E$3:$E$72,"Post-GA",'Features'!$G$3:$G$72,"not_started")</f>
        <v/>
      </c>
      <c r="G8" s="5">
        <f>IFERROR(ROUND(SUMIFS('Features'!$H$3:$H$72,'Features'!$E$3:$E$72,"Post-GA")/(B8*100),3),0)</f>
        <v/>
      </c>
      <c r="H8" s="4">
        <f>IF(E8&gt;0,"BLOCKED",IF(G8&gt;=0.9,"ON-TRACK",IF(G8&gt;=0.5,"AT-RISK",IF(B8=0,"N/A","AT-RISK"))))</f>
        <v/>
      </c>
    </row>
    <row r="10" ht="22" customHeight="1">
      <c r="A10" s="6" t="inlineStr">
        <is>
          <t>Earliest blocker (first feature with status = blocked)</t>
        </is>
      </c>
    </row>
    <row r="11" ht="28" customHeight="1">
      <c r="A11" s="4">
        <f>IFERROR(INDEX('Features'!A3:A72,MATCH("blocked",'Features'!$G$3:$G$72,0)),"None")</f>
        <v/>
      </c>
      <c r="B11" s="4">
        <f>IFERROR(INDEX('Features'!B3:B72,MATCH("blocked",'Features'!$G$3:$G$72,0)),"None")</f>
        <v/>
      </c>
      <c r="C11" s="4">
        <f>IFERROR(INDEX('Features'!E3:E72,MATCH("blocked",'Features'!$G$3:$G$72,0)),"")</f>
        <v/>
      </c>
      <c r="D11" s="4">
        <f>IFERROR(INDEX('Features'!I3:I72,MATCH("blocked",'Features'!$G$3:$G$72,0)),"")</f>
        <v/>
      </c>
    </row>
  </sheetData>
  <mergeCells count="4">
    <mergeCell ref="D11:H11"/>
    <mergeCell ref="A2:H2"/>
    <mergeCell ref="A10:H10"/>
    <mergeCell ref="A1:H1"/>
  </mergeCells>
  <conditionalFormatting sqref="H5:H8">
    <cfRule type="cellIs" priority="1" operator="equal" dxfId="0">
      <formula>"BLOCKED"</formula>
    </cfRule>
    <cfRule type="cellIs" priority="2" operator="equal" dxfId="1">
      <formula>"AT-RISK"</formula>
    </cfRule>
    <cfRule type="cellIs" priority="3" operator="equal" dxfId="2">
      <formula>"ON-TRACK"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0" customWidth="1" min="2" max="2"/>
    <col width="18" customWidth="1" min="3" max="3"/>
    <col width="14" customWidth="1" min="4" max="4"/>
    <col width="32" customWidth="1" min="5" max="5"/>
    <col width="10" customWidth="1" min="6" max="6"/>
    <col width="12" customWidth="1" min="7" max="7"/>
    <col width="28" customWidth="1" min="8" max="8"/>
    <col width="60" customWidth="1" min="9" max="9"/>
  </cols>
  <sheetData>
    <row r="1" ht="32" customHeight="1">
      <c r="A1" s="1" t="inlineStr">
        <is>
          <t>Problems — the grand-vision list, mapped to features</t>
        </is>
      </c>
    </row>
    <row r="2">
      <c r="A2" s="2" t="inlineStr">
        <is>
          <t>Each problem is mapped to the features that help solve it. fulfilment_status derives from the status of mapped features. alpha_testable = whether Alpha-stage features alone are enough to validate this problem with testers.</t>
        </is>
      </c>
    </row>
    <row r="4" ht="28" customHeight="1">
      <c r="A4" s="3" t="inlineStr">
        <is>
          <t>problem_id</t>
        </is>
      </c>
      <c r="B4" s="3" t="inlineStr">
        <is>
          <t>problem_statement</t>
        </is>
      </c>
      <c r="C4" s="3" t="inlineStr">
        <is>
          <t>earliest_phase_solvable</t>
        </is>
      </c>
      <c r="D4" s="3" t="inlineStr">
        <is>
          <t>alpha_testable</t>
        </is>
      </c>
      <c r="E4" s="3" t="inlineStr">
        <is>
          <t>mapped_features</t>
        </is>
      </c>
      <c r="F4" s="3" t="inlineStr">
        <is>
          <t>feature_count</t>
        </is>
      </c>
      <c r="G4" s="3" t="inlineStr">
        <is>
          <t>complete_or_review_count</t>
        </is>
      </c>
      <c r="H4" s="3" t="inlineStr">
        <is>
          <t>fulfilment_status</t>
        </is>
      </c>
      <c r="I4" s="3" t="inlineStr">
        <is>
          <t>notes</t>
        </is>
      </c>
    </row>
    <row r="5" ht="48" customHeight="1">
      <c r="A5" s="4" t="inlineStr">
        <is>
          <t>P-001</t>
        </is>
      </c>
      <c r="B5" s="4" t="inlineStr">
        <is>
          <t>Generic AI doesn't know my customer deeply enough.</t>
        </is>
      </c>
      <c r="C5" s="4" t="inlineStr">
        <is>
          <t>Alpha</t>
        </is>
      </c>
      <c r="D5" s="4" t="inlineStr">
        <is>
          <t>Yes</t>
        </is>
      </c>
      <c r="E5" s="4" t="inlineStr">
        <is>
          <t>F-004,F-005,F-006,F-007,F-008,F-009,F-012,F-022,F-058,F-060</t>
        </is>
      </c>
      <c r="F5" s="4" t="n">
        <v>10</v>
      </c>
      <c r="G5" s="4">
        <f>(COUNTIFS('Features'!$A$3:$A$72,"F-004",'Features'!$G$3:$G$72,"complete")+COUNTIFS('Features'!$A$3:$A$72,"F-004",'Features'!$G$3:$G$72,"in_review")+COUNTIFS('Features'!$A$3:$A$72,"F-005",'Features'!$G$3:$G$72,"complete")+COUNTIFS('Features'!$A$3:$A$72,"F-005",'Features'!$G$3:$G$72,"in_review")+COUNTIFS('Features'!$A$3:$A$72,"F-006",'Features'!$G$3:$G$72,"complete")+COUNTIFS('Features'!$A$3:$A$72,"F-006",'Features'!$G$3:$G$72,"in_review")+COUNTIFS('Features'!$A$3:$A$72,"F-007",'Features'!$G$3:$G$72,"complete")+COUNTIFS('Features'!$A$3:$A$72,"F-007",'Features'!$G$3:$G$72,"in_review")+COUNTIFS('Features'!$A$3:$A$72,"F-008",'Features'!$G$3:$G$72,"complete")+COUNTIFS('Features'!$A$3:$A$72,"F-008",'Features'!$G$3:$G$72,"in_review")+COUNTIFS('Features'!$A$3:$A$72,"F-009",'Features'!$G$3:$G$72,"complete")+COUNTIFS('Features'!$A$3:$A$72,"F-009",'Features'!$G$3:$G$72,"in_review")+COUNTIFS('Features'!$A$3:$A$72,"F-012",'Features'!$G$3:$G$72,"complete")+COUNTIFS('Features'!$A$3:$A$72,"F-012",'Features'!$G$3:$G$72,"in_review")+COUNTIFS('Features'!$A$3:$A$72,"F-022",'Features'!$G$3:$G$72,"complete")+COUNTIFS('Features'!$A$3:$A$72,"F-022",'Features'!$G$3:$G$72,"in_review")+COUNTIFS('Features'!$A$3:$A$72,"F-058",'Features'!$G$3:$G$72,"complete")+COUNTIFS('Features'!$A$3:$A$72,"F-058",'Features'!$G$3:$G$72,"in_review")+COUNTIFS('Features'!$A$3:$A$72,"F-060",'Features'!$G$3:$G$72,"complete")+COUNTIFS('Features'!$A$3:$A$72,"F-060",'Features'!$G$3:$G$72,"in_review"))</f>
        <v/>
      </c>
      <c r="H5" s="4">
        <f>IF((COUNTIFS('Features'!$A$3:$A$72,"F-004",'Features'!$G$3:$G$72,"blocked")+COUNTIFS('Features'!$A$3:$A$72,"F-005",'Features'!$G$3:$G$72,"blocked")+COUNTIFS('Features'!$A$3:$A$72,"F-006",'Features'!$G$3:$G$72,"blocked")+COUNTIFS('Features'!$A$3:$A$72,"F-007",'Features'!$G$3:$G$72,"blocked")+COUNTIFS('Features'!$A$3:$A$72,"F-008",'Features'!$G$3:$G$72,"blocked")+COUNTIFS('Features'!$A$3:$A$72,"F-009",'Features'!$G$3:$G$72,"blocked")+COUNTIFS('Features'!$A$3:$A$72,"F-012",'Features'!$G$3:$G$72,"blocked")+COUNTIFS('Features'!$A$3:$A$72,"F-022",'Features'!$G$3:$G$72,"blocked")+COUNTIFS('Features'!$A$3:$A$72,"F-058",'Features'!$G$3:$G$72,"blocked")+COUNTIFS('Features'!$A$3:$A$72,"F-060",'Features'!$G$3:$G$72,"blocked"))&gt;0,"BLOCKED — see mapped features",IF((COUNTIFS('Features'!$A$3:$A$72,"F-004",'Features'!$G$3:$G$72,"complete")+COUNTIFS('Features'!$A$3:$A$72,"F-004",'Features'!$G$3:$G$72,"in_review")+COUNTIFS('Features'!$A$3:$A$72,"F-005",'Features'!$G$3:$G$72,"complete")+COUNTIFS('Features'!$A$3:$A$72,"F-005",'Features'!$G$3:$G$72,"in_review")+COUNTIFS('Features'!$A$3:$A$72,"F-006",'Features'!$G$3:$G$72,"complete")+COUNTIFS('Features'!$A$3:$A$72,"F-006",'Features'!$G$3:$G$72,"in_review")+COUNTIFS('Features'!$A$3:$A$72,"F-007",'Features'!$G$3:$G$72,"complete")+COUNTIFS('Features'!$A$3:$A$72,"F-007",'Features'!$G$3:$G$72,"in_review")+COUNTIFS('Features'!$A$3:$A$72,"F-008",'Features'!$G$3:$G$72,"complete")+COUNTIFS('Features'!$A$3:$A$72,"F-008",'Features'!$G$3:$G$72,"in_review")+COUNTIFS('Features'!$A$3:$A$72,"F-009",'Features'!$G$3:$G$72,"complete")+COUNTIFS('Features'!$A$3:$A$72,"F-009",'Features'!$G$3:$G$72,"in_review")+COUNTIFS('Features'!$A$3:$A$72,"F-012",'Features'!$G$3:$G$72,"complete")+COUNTIFS('Features'!$A$3:$A$72,"F-012",'Features'!$G$3:$G$72,"in_review")+COUNTIFS('Features'!$A$3:$A$72,"F-022",'Features'!$G$3:$G$72,"complete")+COUNTIFS('Features'!$A$3:$A$72,"F-022",'Features'!$G$3:$G$72,"in_review")+COUNTIFS('Features'!$A$3:$A$72,"F-058",'Features'!$G$3:$G$72,"complete")+COUNTIFS('Features'!$A$3:$A$72,"F-058",'Features'!$G$3:$G$72,"in_review")+COUNTIFS('Features'!$A$3:$A$72,"F-060",'Features'!$G$3:$G$72,"complete")+COUNTIFS('Features'!$A$3:$A$72,"F-060",'Features'!$G$3:$G$72,"in_review"))=10,"MET",IF((COUNTIFS('Features'!$A$3:$A$72,"F-004",'Features'!$G$3:$G$72,"complete")+COUNTIFS('Features'!$A$3:$A$72,"F-004",'Features'!$G$3:$G$72,"in_review")+COUNTIFS('Features'!$A$3:$A$72,"F-005",'Features'!$G$3:$G$72,"complete")+COUNTIFS('Features'!$A$3:$A$72,"F-005",'Features'!$G$3:$G$72,"in_review")+COUNTIFS('Features'!$A$3:$A$72,"F-006",'Features'!$G$3:$G$72,"complete")+COUNTIFS('Features'!$A$3:$A$72,"F-006",'Features'!$G$3:$G$72,"in_review")+COUNTIFS('Features'!$A$3:$A$72,"F-007",'Features'!$G$3:$G$72,"complete")+COUNTIFS('Features'!$A$3:$A$72,"F-007",'Features'!$G$3:$G$72,"in_review")+COUNTIFS('Features'!$A$3:$A$72,"F-008",'Features'!$G$3:$G$72,"complete")+COUNTIFS('Features'!$A$3:$A$72,"F-008",'Features'!$G$3:$G$72,"in_review")+COUNTIFS('Features'!$A$3:$A$72,"F-009",'Features'!$G$3:$G$72,"complete")+COUNTIFS('Features'!$A$3:$A$72,"F-009",'Features'!$G$3:$G$72,"in_review")+COUNTIFS('Features'!$A$3:$A$72,"F-012",'Features'!$G$3:$G$72,"complete")+COUNTIFS('Features'!$A$3:$A$72,"F-012",'Features'!$G$3:$G$72,"in_review")+COUNTIFS('Features'!$A$3:$A$72,"F-022",'Features'!$G$3:$G$72,"complete")+COUNTIFS('Features'!$A$3:$A$72,"F-022",'Features'!$G$3:$G$72,"in_review")+COUNTIFS('Features'!$A$3:$A$72,"F-058",'Features'!$G$3:$G$72,"complete")+COUNTIFS('Features'!$A$3:$A$72,"F-058",'Features'!$G$3:$G$72,"in_review")+COUNTIFS('Features'!$A$3:$A$72,"F-060",'Features'!$G$3:$G$72,"complete")+COUNTIFS('Features'!$A$3:$A$72,"F-060",'Features'!$G$3:$G$72,"in_review"))=0,"OPEN — 0 of 10","PARTIAL — "&amp;(COUNTIFS('Features'!$A$3:$A$72,"F-004",'Features'!$G$3:$G$72,"complete")+COUNTIFS('Features'!$A$3:$A$72,"F-004",'Features'!$G$3:$G$72,"in_review")+COUNTIFS('Features'!$A$3:$A$72,"F-005",'Features'!$G$3:$G$72,"complete")+COUNTIFS('Features'!$A$3:$A$72,"F-005",'Features'!$G$3:$G$72,"in_review")+COUNTIFS('Features'!$A$3:$A$72,"F-006",'Features'!$G$3:$G$72,"complete")+COUNTIFS('Features'!$A$3:$A$72,"F-006",'Features'!$G$3:$G$72,"in_review")+COUNTIFS('Features'!$A$3:$A$72,"F-007",'Features'!$G$3:$G$72,"complete")+COUNTIFS('Features'!$A$3:$A$72,"F-007",'Features'!$G$3:$G$72,"in_review")+COUNTIFS('Features'!$A$3:$A$72,"F-008",'Features'!$G$3:$G$72,"complete")+COUNTIFS('Features'!$A$3:$A$72,"F-008",'Features'!$G$3:$G$72,"in_review")+COUNTIFS('Features'!$A$3:$A$72,"F-009",'Features'!$G$3:$G$72,"complete")+COUNTIFS('Features'!$A$3:$A$72,"F-009",'Features'!$G$3:$G$72,"in_review")+COUNTIFS('Features'!$A$3:$A$72,"F-012",'Features'!$G$3:$G$72,"complete")+COUNTIFS('Features'!$A$3:$A$72,"F-012",'Features'!$G$3:$G$72,"in_review")+COUNTIFS('Features'!$A$3:$A$72,"F-022",'Features'!$G$3:$G$72,"complete")+COUNTIFS('Features'!$A$3:$A$72,"F-022",'Features'!$G$3:$G$72,"in_review")+COUNTIFS('Features'!$A$3:$A$72,"F-058",'Features'!$G$3:$G$72,"complete")+COUNTIFS('Features'!$A$3:$A$72,"F-058",'Features'!$G$3:$G$72,"in_review")+COUNTIFS('Features'!$A$3:$A$72,"F-060",'Features'!$G$3:$G$72,"complete")+COUNTIFS('Features'!$A$3:$A$72,"F-060",'Features'!$G$3:$G$72,"in_review"))&amp;" of 10")))</f>
        <v/>
      </c>
      <c r="I5" s="4" t="inlineStr">
        <is>
          <t>Core Alpha thesis: Avatar Builder + Forensic Canvas produce a depth of customer understanding generic prompting can't reach. F-022 (Coach mode) extends this in Beta. GEN3 (2026-05-25): = cannot articulate what the customer is actually buying → The Signature (F-060) is the answer; the Decision Trigger (F-058) sharpens it. MVP-critical, validate first. Free tier.</t>
        </is>
      </c>
    </row>
    <row r="6" ht="48" customHeight="1">
      <c r="A6" s="4" t="inlineStr">
        <is>
          <t>P-002</t>
        </is>
      </c>
      <c r="B6" s="4" t="inlineStr">
        <is>
          <t>I don't know what to ask myself about my customer.</t>
        </is>
      </c>
      <c r="C6" s="4" t="inlineStr">
        <is>
          <t>Alpha</t>
        </is>
      </c>
      <c r="D6" s="4" t="inlineStr">
        <is>
          <t>Yes</t>
        </is>
      </c>
      <c r="E6" s="4" t="inlineStr">
        <is>
          <t>F-001,F-004,F-005,F-006,F-007,F-009,F-060,F-061,F-062</t>
        </is>
      </c>
      <c r="F6" s="4" t="n">
        <v>9</v>
      </c>
      <c r="G6" s="4">
        <f>(COUNTIFS('Features'!$A$3:$A$72,"F-001",'Features'!$G$3:$G$72,"complete")+COUNTIFS('Features'!$A$3:$A$72,"F-001",'Features'!$G$3:$G$72,"in_review")+COUNTIFS('Features'!$A$3:$A$72,"F-004",'Features'!$G$3:$G$72,"complete")+COUNTIFS('Features'!$A$3:$A$72,"F-004",'Features'!$G$3:$G$72,"in_review")+COUNTIFS('Features'!$A$3:$A$72,"F-005",'Features'!$G$3:$G$72,"complete")+COUNTIFS('Features'!$A$3:$A$72,"F-005",'Features'!$G$3:$G$72,"in_review")+COUNTIFS('Features'!$A$3:$A$72,"F-006",'Features'!$G$3:$G$72,"complete")+COUNTIFS('Features'!$A$3:$A$72,"F-006",'Features'!$G$3:$G$72,"in_review")+COUNTIFS('Features'!$A$3:$A$72,"F-007",'Features'!$G$3:$G$72,"complete")+COUNTIFS('Features'!$A$3:$A$72,"F-007",'Features'!$G$3:$G$72,"in_review")+COUNTIFS('Features'!$A$3:$A$72,"F-009",'Features'!$G$3:$G$72,"complete")+COUNTIFS('Features'!$A$3:$A$72,"F-009",'Features'!$G$3:$G$72,"in_review")+COUNTIFS('Features'!$A$3:$A$72,"F-060",'Features'!$G$3:$G$72,"complete")+COUNTIFS('Features'!$A$3:$A$72,"F-060",'Features'!$G$3:$G$72,"in_review")+COUNTIFS('Features'!$A$3:$A$72,"F-061",'Features'!$G$3:$G$72,"complete")+COUNTIFS('Features'!$A$3:$A$72,"F-061",'Features'!$G$3:$G$72,"in_review")+COUNTIFS('Features'!$A$3:$A$72,"F-062",'Features'!$G$3:$G$72,"complete")+COUNTIFS('Features'!$A$3:$A$72,"F-062",'Features'!$G$3:$G$72,"in_review"))</f>
        <v/>
      </c>
      <c r="H6" s="4">
        <f>IF((COUNTIFS('Features'!$A$3:$A$72,"F-001",'Features'!$G$3:$G$72,"blocked")+COUNTIFS('Features'!$A$3:$A$72,"F-004",'Features'!$G$3:$G$72,"blocked")+COUNTIFS('Features'!$A$3:$A$72,"F-005",'Features'!$G$3:$G$72,"blocked")+COUNTIFS('Features'!$A$3:$A$72,"F-006",'Features'!$G$3:$G$72,"blocked")+COUNTIFS('Features'!$A$3:$A$72,"F-007",'Features'!$G$3:$G$72,"blocked")+COUNTIFS('Features'!$A$3:$A$72,"F-009",'Features'!$G$3:$G$72,"blocked")+COUNTIFS('Features'!$A$3:$A$72,"F-060",'Features'!$G$3:$G$72,"blocked")+COUNTIFS('Features'!$A$3:$A$72,"F-061",'Features'!$G$3:$G$72,"blocked")+COUNTIFS('Features'!$A$3:$A$72,"F-062",'Features'!$G$3:$G$72,"blocked"))&gt;0,"BLOCKED — see mapped features",IF((COUNTIFS('Features'!$A$3:$A$72,"F-001",'Features'!$G$3:$G$72,"complete")+COUNTIFS('Features'!$A$3:$A$72,"F-001",'Features'!$G$3:$G$72,"in_review")+COUNTIFS('Features'!$A$3:$A$72,"F-004",'Features'!$G$3:$G$72,"complete")+COUNTIFS('Features'!$A$3:$A$72,"F-004",'Features'!$G$3:$G$72,"in_review")+COUNTIFS('Features'!$A$3:$A$72,"F-005",'Features'!$G$3:$G$72,"complete")+COUNTIFS('Features'!$A$3:$A$72,"F-005",'Features'!$G$3:$G$72,"in_review")+COUNTIFS('Features'!$A$3:$A$72,"F-006",'Features'!$G$3:$G$72,"complete")+COUNTIFS('Features'!$A$3:$A$72,"F-006",'Features'!$G$3:$G$72,"in_review")+COUNTIFS('Features'!$A$3:$A$72,"F-007",'Features'!$G$3:$G$72,"complete")+COUNTIFS('Features'!$A$3:$A$72,"F-007",'Features'!$G$3:$G$72,"in_review")+COUNTIFS('Features'!$A$3:$A$72,"F-009",'Features'!$G$3:$G$72,"complete")+COUNTIFS('Features'!$A$3:$A$72,"F-009",'Features'!$G$3:$G$72,"in_review")+COUNTIFS('Features'!$A$3:$A$72,"F-060",'Features'!$G$3:$G$72,"complete")+COUNTIFS('Features'!$A$3:$A$72,"F-060",'Features'!$G$3:$G$72,"in_review")+COUNTIFS('Features'!$A$3:$A$72,"F-061",'Features'!$G$3:$G$72,"complete")+COUNTIFS('Features'!$A$3:$A$72,"F-061",'Features'!$G$3:$G$72,"in_review")+COUNTIFS('Features'!$A$3:$A$72,"F-062",'Features'!$G$3:$G$72,"complete")+COUNTIFS('Features'!$A$3:$A$72,"F-062",'Features'!$G$3:$G$72,"in_review"))=9,"MET",IF((COUNTIFS('Features'!$A$3:$A$72,"F-001",'Features'!$G$3:$G$72,"complete")+COUNTIFS('Features'!$A$3:$A$72,"F-001",'Features'!$G$3:$G$72,"in_review")+COUNTIFS('Features'!$A$3:$A$72,"F-004",'Features'!$G$3:$G$72,"complete")+COUNTIFS('Features'!$A$3:$A$72,"F-004",'Features'!$G$3:$G$72,"in_review")+COUNTIFS('Features'!$A$3:$A$72,"F-005",'Features'!$G$3:$G$72,"complete")+COUNTIFS('Features'!$A$3:$A$72,"F-005",'Features'!$G$3:$G$72,"in_review")+COUNTIFS('Features'!$A$3:$A$72,"F-006",'Features'!$G$3:$G$72,"complete")+COUNTIFS('Features'!$A$3:$A$72,"F-006",'Features'!$G$3:$G$72,"in_review")+COUNTIFS('Features'!$A$3:$A$72,"F-007",'Features'!$G$3:$G$72,"complete")+COUNTIFS('Features'!$A$3:$A$72,"F-007",'Features'!$G$3:$G$72,"in_review")+COUNTIFS('Features'!$A$3:$A$72,"F-009",'Features'!$G$3:$G$72,"complete")+COUNTIFS('Features'!$A$3:$A$72,"F-009",'Features'!$G$3:$G$72,"in_review")+COUNTIFS('Features'!$A$3:$A$72,"F-060",'Features'!$G$3:$G$72,"complete")+COUNTIFS('Features'!$A$3:$A$72,"F-060",'Features'!$G$3:$G$72,"in_review")+COUNTIFS('Features'!$A$3:$A$72,"F-061",'Features'!$G$3:$G$72,"complete")+COUNTIFS('Features'!$A$3:$A$72,"F-061",'Features'!$G$3:$G$72,"in_review")+COUNTIFS('Features'!$A$3:$A$72,"F-062",'Features'!$G$3:$G$72,"complete")+COUNTIFS('Features'!$A$3:$A$72,"F-062",'Features'!$G$3:$G$72,"in_review"))=0,"OPEN — 0 of 9","PARTIAL — "&amp;(COUNTIFS('Features'!$A$3:$A$72,"F-001",'Features'!$G$3:$G$72,"complete")+COUNTIFS('Features'!$A$3:$A$72,"F-001",'Features'!$G$3:$G$72,"in_review")+COUNTIFS('Features'!$A$3:$A$72,"F-004",'Features'!$G$3:$G$72,"complete")+COUNTIFS('Features'!$A$3:$A$72,"F-004",'Features'!$G$3:$G$72,"in_review")+COUNTIFS('Features'!$A$3:$A$72,"F-005",'Features'!$G$3:$G$72,"complete")+COUNTIFS('Features'!$A$3:$A$72,"F-005",'Features'!$G$3:$G$72,"in_review")+COUNTIFS('Features'!$A$3:$A$72,"F-006",'Features'!$G$3:$G$72,"complete")+COUNTIFS('Features'!$A$3:$A$72,"F-006",'Features'!$G$3:$G$72,"in_review")+COUNTIFS('Features'!$A$3:$A$72,"F-007",'Features'!$G$3:$G$72,"complete")+COUNTIFS('Features'!$A$3:$A$72,"F-007",'Features'!$G$3:$G$72,"in_review")+COUNTIFS('Features'!$A$3:$A$72,"F-009",'Features'!$G$3:$G$72,"complete")+COUNTIFS('Features'!$A$3:$A$72,"F-009",'Features'!$G$3:$G$72,"in_review")+COUNTIFS('Features'!$A$3:$A$72,"F-060",'Features'!$G$3:$G$72,"complete")+COUNTIFS('Features'!$A$3:$A$72,"F-060",'Features'!$G$3:$G$72,"in_review")+COUNTIFS('Features'!$A$3:$A$72,"F-061",'Features'!$G$3:$G$72,"complete")+COUNTIFS('Features'!$A$3:$A$72,"F-061",'Features'!$G$3:$G$72,"in_review")+COUNTIFS('Features'!$A$3:$A$72,"F-062",'Features'!$G$3:$G$72,"complete")+COUNTIFS('Features'!$A$3:$A$72,"F-062",'Features'!$G$3:$G$72,"in_review"))&amp;" of 9")))</f>
        <v/>
      </c>
      <c r="I6" s="4" t="inlineStr">
        <is>
          <t>10-Q conversation + 4 Avatar Builder sections provide the inquiry structure. F-009 'Think About This' mode explicitly generates reflective questions per field.</t>
        </is>
      </c>
    </row>
    <row r="7" ht="48" customHeight="1">
      <c r="A7" s="4" t="inlineStr">
        <is>
          <t>P-003</t>
        </is>
      </c>
      <c r="B7" s="4" t="inlineStr">
        <is>
          <t>My brand strategy doc is shallow or doesn't exist.</t>
        </is>
      </c>
      <c r="C7" s="4" t="inlineStr">
        <is>
          <t>Alpha</t>
        </is>
      </c>
      <c r="D7" s="4" t="inlineStr">
        <is>
          <t>Partial</t>
        </is>
      </c>
      <c r="E7" s="4" t="inlineStr">
        <is>
          <t>F-003,F-008,F-023,F-053</t>
        </is>
      </c>
      <c r="F7" s="4" t="n">
        <v>4</v>
      </c>
      <c r="G7" s="4">
        <f>(COUNTIFS('Features'!$A$3:$A$72,"F-003",'Features'!$G$3:$G$72,"complete")+COUNTIFS('Features'!$A$3:$A$72,"F-003",'Features'!$G$3:$G$72,"in_review")+COUNTIFS('Features'!$A$3:$A$72,"F-008",'Features'!$G$3:$G$72,"complete")+COUNTIFS('Features'!$A$3:$A$72,"F-008",'Features'!$G$3:$G$72,"in_review")+COUNTIFS('Features'!$A$3:$A$72,"F-023",'Features'!$G$3:$G$72,"complete")+COUNTIFS('Features'!$A$3:$A$72,"F-023",'Features'!$G$3:$G$72,"in_review")+COUNTIFS('Features'!$A$3:$A$72,"F-053",'Features'!$G$3:$G$72,"complete")+COUNTIFS('Features'!$A$3:$A$72,"F-053",'Features'!$G$3:$G$72,"in_review"))</f>
        <v/>
      </c>
      <c r="H7" s="4">
        <f>IF((COUNTIFS('Features'!$A$3:$A$72,"F-003",'Features'!$G$3:$G$72,"blocked")+COUNTIFS('Features'!$A$3:$A$72,"F-008",'Features'!$G$3:$G$72,"blocked")+COUNTIFS('Features'!$A$3:$A$72,"F-023",'Features'!$G$3:$G$72,"blocked")+COUNTIFS('Features'!$A$3:$A$72,"F-053",'Features'!$G$3:$G$72,"blocked"))&gt;0,"BLOCKED — see mapped features",IF((COUNTIFS('Features'!$A$3:$A$72,"F-003",'Features'!$G$3:$G$72,"complete")+COUNTIFS('Features'!$A$3:$A$72,"F-003",'Features'!$G$3:$G$72,"in_review")+COUNTIFS('Features'!$A$3:$A$72,"F-008",'Features'!$G$3:$G$72,"complete")+COUNTIFS('Features'!$A$3:$A$72,"F-008",'Features'!$G$3:$G$72,"in_review")+COUNTIFS('Features'!$A$3:$A$72,"F-023",'Features'!$G$3:$G$72,"complete")+COUNTIFS('Features'!$A$3:$A$72,"F-023",'Features'!$G$3:$G$72,"in_review")+COUNTIFS('Features'!$A$3:$A$72,"F-053",'Features'!$G$3:$G$72,"complete")+COUNTIFS('Features'!$A$3:$A$72,"F-053",'Features'!$G$3:$G$72,"in_review"))=4,"MET",IF((COUNTIFS('Features'!$A$3:$A$72,"F-003",'Features'!$G$3:$G$72,"complete")+COUNTIFS('Features'!$A$3:$A$72,"F-003",'Features'!$G$3:$G$72,"in_review")+COUNTIFS('Features'!$A$3:$A$72,"F-008",'Features'!$G$3:$G$72,"complete")+COUNTIFS('Features'!$A$3:$A$72,"F-008",'Features'!$G$3:$G$72,"in_review")+COUNTIFS('Features'!$A$3:$A$72,"F-023",'Features'!$G$3:$G$72,"complete")+COUNTIFS('Features'!$A$3:$A$72,"F-023",'Features'!$G$3:$G$72,"in_review")+COUNTIFS('Features'!$A$3:$A$72,"F-053",'Features'!$G$3:$G$72,"complete")+COUNTIFS('Features'!$A$3:$A$72,"F-053",'Features'!$G$3:$G$72,"in_review"))=0,"OPEN — 0 of 4","PARTIAL — "&amp;(COUNTIFS('Features'!$A$3:$A$72,"F-003",'Features'!$G$3:$G$72,"complete")+COUNTIFS('Features'!$A$3:$A$72,"F-003",'Features'!$G$3:$G$72,"in_review")+COUNTIFS('Features'!$A$3:$A$72,"F-008",'Features'!$G$3:$G$72,"complete")+COUNTIFS('Features'!$A$3:$A$72,"F-008",'Features'!$G$3:$G$72,"in_review")+COUNTIFS('Features'!$A$3:$A$72,"F-023",'Features'!$G$3:$G$72,"complete")+COUNTIFS('Features'!$A$3:$A$72,"F-023",'Features'!$G$3:$G$72,"in_review")+COUNTIFS('Features'!$A$3:$A$72,"F-053",'Features'!$G$3:$G$72,"complete")+COUNTIFS('Features'!$A$3:$A$72,"F-053",'Features'!$G$3:$G$72,"in_review"))&amp;" of 4")))</f>
        <v/>
      </c>
      <c r="I7" s="4" t="inlineStr">
        <is>
          <t>F-008 (Forensic Canvas via generate-brand-strategy-document) is the primary fulfilment — substantially shipped. Polished Word export (F-023) and multi-angle (F-053) are Beta extensions.</t>
        </is>
      </c>
    </row>
    <row r="8" ht="48" customHeight="1">
      <c r="A8" s="4" t="inlineStr">
        <is>
          <t>P-004</t>
        </is>
      </c>
      <c r="B8" s="4" t="inlineStr">
        <is>
          <t>My copy and creative aren't grounded in strategy.</t>
        </is>
      </c>
      <c r="C8" s="4" t="inlineStr">
        <is>
          <t>Beta</t>
        </is>
      </c>
      <c r="D8" s="4" t="inlineStr">
        <is>
          <t>No</t>
        </is>
      </c>
      <c r="E8" s="4" t="inlineStr">
        <is>
          <t>F-008,F-020,F-021,F-055</t>
        </is>
      </c>
      <c r="F8" s="4" t="n">
        <v>4</v>
      </c>
      <c r="G8" s="4">
        <f>(COUNTIFS('Features'!$A$3:$A$72,"F-008",'Features'!$G$3:$G$72,"complete")+COUNTIFS('Features'!$A$3:$A$72,"F-008",'Features'!$G$3:$G$72,"in_review")+COUNTIFS('Features'!$A$3:$A$72,"F-020",'Features'!$G$3:$G$72,"complete")+COUNTIFS('Features'!$A$3:$A$72,"F-020",'Features'!$G$3:$G$72,"in_review")+COUNTIFS('Features'!$A$3:$A$72,"F-021",'Features'!$G$3:$G$72,"complete")+COUNTIFS('Features'!$A$3:$A$72,"F-021",'Features'!$G$3:$G$72,"in_review")+COUNTIFS('Features'!$A$3:$A$72,"F-055",'Features'!$G$3:$G$72,"complete")+COUNTIFS('Features'!$A$3:$A$72,"F-055",'Features'!$G$3:$G$72,"in_review"))</f>
        <v/>
      </c>
      <c r="H8" s="4">
        <f>IF((COUNTIFS('Features'!$A$3:$A$72,"F-008",'Features'!$G$3:$G$72,"blocked")+COUNTIFS('Features'!$A$3:$A$72,"F-020",'Features'!$G$3:$G$72,"blocked")+COUNTIFS('Features'!$A$3:$A$72,"F-021",'Features'!$G$3:$G$72,"blocked")+COUNTIFS('Features'!$A$3:$A$72,"F-055",'Features'!$G$3:$G$72,"blocked"))&gt;0,"BLOCKED — see mapped features",IF((COUNTIFS('Features'!$A$3:$A$72,"F-008",'Features'!$G$3:$G$72,"complete")+COUNTIFS('Features'!$A$3:$A$72,"F-008",'Features'!$G$3:$G$72,"in_review")+COUNTIFS('Features'!$A$3:$A$72,"F-020",'Features'!$G$3:$G$72,"complete")+COUNTIFS('Features'!$A$3:$A$72,"F-020",'Features'!$G$3:$G$72,"in_review")+COUNTIFS('Features'!$A$3:$A$72,"F-021",'Features'!$G$3:$G$72,"complete")+COUNTIFS('Features'!$A$3:$A$72,"F-021",'Features'!$G$3:$G$72,"in_review")+COUNTIFS('Features'!$A$3:$A$72,"F-055",'Features'!$G$3:$G$72,"complete")+COUNTIFS('Features'!$A$3:$A$72,"F-055",'Features'!$G$3:$G$72,"in_review"))=4,"MET",IF((COUNTIFS('Features'!$A$3:$A$72,"F-008",'Features'!$G$3:$G$72,"complete")+COUNTIFS('Features'!$A$3:$A$72,"F-008",'Features'!$G$3:$G$72,"in_review")+COUNTIFS('Features'!$A$3:$A$72,"F-020",'Features'!$G$3:$G$72,"complete")+COUNTIFS('Features'!$A$3:$A$72,"F-020",'Features'!$G$3:$G$72,"in_review")+COUNTIFS('Features'!$A$3:$A$72,"F-021",'Features'!$G$3:$G$72,"complete")+COUNTIFS('Features'!$A$3:$A$72,"F-021",'Features'!$G$3:$G$72,"in_review")+COUNTIFS('Features'!$A$3:$A$72,"F-055",'Features'!$G$3:$G$72,"complete")+COUNTIFS('Features'!$A$3:$A$72,"F-055",'Features'!$G$3:$G$72,"in_review"))=0,"OPEN — 0 of 4","PARTIAL — "&amp;(COUNTIFS('Features'!$A$3:$A$72,"F-008",'Features'!$G$3:$G$72,"complete")+COUNTIFS('Features'!$A$3:$A$72,"F-008",'Features'!$G$3:$G$72,"in_review")+COUNTIFS('Features'!$A$3:$A$72,"F-020",'Features'!$G$3:$G$72,"complete")+COUNTIFS('Features'!$A$3:$A$72,"F-020",'Features'!$G$3:$G$72,"in_review")+COUNTIFS('Features'!$A$3:$A$72,"F-021",'Features'!$G$3:$G$72,"complete")+COUNTIFS('Features'!$A$3:$A$72,"F-021",'Features'!$G$3:$G$72,"in_review")+COUNTIFS('Features'!$A$3:$A$72,"F-055",'Features'!$G$3:$G$72,"complete")+COUNTIFS('Features'!$A$3:$A$72,"F-055",'Features'!$G$3:$G$72,"in_review"))&amp;" of 4")))</f>
        <v/>
      </c>
      <c r="I8" s="4" t="inlineStr">
        <is>
          <t>Requires Create mode outputs (F-020 Amazon, F-021 Voice Guide, F-055 Design brief). None ship in Alpha. The canvas (F-008) is the anchor but not the deliverable for this problem.</t>
        </is>
      </c>
    </row>
    <row r="9" ht="48" customHeight="1">
      <c r="A9" s="4" t="inlineStr">
        <is>
          <t>P-005</t>
        </is>
      </c>
      <c r="B9" s="4" t="inlineStr">
        <is>
          <t>My customer's actual language doesn't make it into my copy.</t>
        </is>
      </c>
      <c r="C9" s="4" t="inlineStr">
        <is>
          <t>Beta</t>
        </is>
      </c>
      <c r="D9" s="4" t="inlineStr">
        <is>
          <t>Partial</t>
        </is>
      </c>
      <c r="E9" s="4" t="inlineStr">
        <is>
          <t>F-007,F-008,F-020,F-021,F-063</t>
        </is>
      </c>
      <c r="F9" s="4" t="n">
        <v>5</v>
      </c>
      <c r="G9" s="4">
        <f>(COUNTIFS('Features'!$A$3:$A$72,"F-007",'Features'!$G$3:$G$72,"complete")+COUNTIFS('Features'!$A$3:$A$72,"F-007",'Features'!$G$3:$G$72,"in_review")+COUNTIFS('Features'!$A$3:$A$72,"F-008",'Features'!$G$3:$G$72,"complete")+COUNTIFS('Features'!$A$3:$A$72,"F-008",'Features'!$G$3:$G$72,"in_review")+COUNTIFS('Features'!$A$3:$A$72,"F-020",'Features'!$G$3:$G$72,"complete")+COUNTIFS('Features'!$A$3:$A$72,"F-020",'Features'!$G$3:$G$72,"in_review")+COUNTIFS('Features'!$A$3:$A$72,"F-021",'Features'!$G$3:$G$72,"complete")+COUNTIFS('Features'!$A$3:$A$72,"F-021",'Features'!$G$3:$G$72,"in_review")+COUNTIFS('Features'!$A$3:$A$72,"F-063",'Features'!$G$3:$G$72,"complete")+COUNTIFS('Features'!$A$3:$A$72,"F-063",'Features'!$G$3:$G$72,"in_review"))</f>
        <v/>
      </c>
      <c r="H9" s="4">
        <f>IF((COUNTIFS('Features'!$A$3:$A$72,"F-007",'Features'!$G$3:$G$72,"blocked")+COUNTIFS('Features'!$A$3:$A$72,"F-008",'Features'!$G$3:$G$72,"blocked")+COUNTIFS('Features'!$A$3:$A$72,"F-020",'Features'!$G$3:$G$72,"blocked")+COUNTIFS('Features'!$A$3:$A$72,"F-021",'Features'!$G$3:$G$72,"blocked")+COUNTIFS('Features'!$A$3:$A$72,"F-063",'Features'!$G$3:$G$72,"blocked"))&gt;0,"BLOCKED — see mapped features",IF((COUNTIFS('Features'!$A$3:$A$72,"F-007",'Features'!$G$3:$G$72,"complete")+COUNTIFS('Features'!$A$3:$A$72,"F-007",'Features'!$G$3:$G$72,"in_review")+COUNTIFS('Features'!$A$3:$A$72,"F-008",'Features'!$G$3:$G$72,"complete")+COUNTIFS('Features'!$A$3:$A$72,"F-008",'Features'!$G$3:$G$72,"in_review")+COUNTIFS('Features'!$A$3:$A$72,"F-020",'Features'!$G$3:$G$72,"complete")+COUNTIFS('Features'!$A$3:$A$72,"F-020",'Features'!$G$3:$G$72,"in_review")+COUNTIFS('Features'!$A$3:$A$72,"F-021",'Features'!$G$3:$G$72,"complete")+COUNTIFS('Features'!$A$3:$A$72,"F-021",'Features'!$G$3:$G$72,"in_review")+COUNTIFS('Features'!$A$3:$A$72,"F-063",'Features'!$G$3:$G$72,"complete")+COUNTIFS('Features'!$A$3:$A$72,"F-063",'Features'!$G$3:$G$72,"in_review"))=5,"MET",IF((COUNTIFS('Features'!$A$3:$A$72,"F-007",'Features'!$G$3:$G$72,"complete")+COUNTIFS('Features'!$A$3:$A$72,"F-007",'Features'!$G$3:$G$72,"in_review")+COUNTIFS('Features'!$A$3:$A$72,"F-008",'Features'!$G$3:$G$72,"complete")+COUNTIFS('Features'!$A$3:$A$72,"F-008",'Features'!$G$3:$G$72,"in_review")+COUNTIFS('Features'!$A$3:$A$72,"F-020",'Features'!$G$3:$G$72,"complete")+COUNTIFS('Features'!$A$3:$A$72,"F-020",'Features'!$G$3:$G$72,"in_review")+COUNTIFS('Features'!$A$3:$A$72,"F-021",'Features'!$G$3:$G$72,"complete")+COUNTIFS('Features'!$A$3:$A$72,"F-021",'Features'!$G$3:$G$72,"in_review")+COUNTIFS('Features'!$A$3:$A$72,"F-063",'Features'!$G$3:$G$72,"complete")+COUNTIFS('Features'!$A$3:$A$72,"F-063",'Features'!$G$3:$G$72,"in_review"))=0,"OPEN — 0 of 5","PARTIAL — "&amp;(COUNTIFS('Features'!$A$3:$A$72,"F-007",'Features'!$G$3:$G$72,"complete")+COUNTIFS('Features'!$A$3:$A$72,"F-007",'Features'!$G$3:$G$72,"in_review")+COUNTIFS('Features'!$A$3:$A$72,"F-008",'Features'!$G$3:$G$72,"complete")+COUNTIFS('Features'!$A$3:$A$72,"F-008",'Features'!$G$3:$G$72,"in_review")+COUNTIFS('Features'!$A$3:$A$72,"F-020",'Features'!$G$3:$G$72,"complete")+COUNTIFS('Features'!$A$3:$A$72,"F-020",'Features'!$G$3:$G$72,"in_review")+COUNTIFS('Features'!$A$3:$A$72,"F-021",'Features'!$G$3:$G$72,"complete")+COUNTIFS('Features'!$A$3:$A$72,"F-021",'Features'!$G$3:$G$72,"in_review")+COUNTIFS('Features'!$A$3:$A$72,"F-063",'Features'!$G$3:$G$72,"complete")+COUNTIFS('Features'!$A$3:$A$72,"F-063",'Features'!$G$3:$G$72,"in_review"))&amp;" of 5")))</f>
        <v/>
      </c>
      <c r="I9" s="4" t="inlineStr">
        <is>
          <t>F-007 Voice of Customer extracts verbatim language in Alpha. F-020/F-021 (Beta) consume it. Alpha can prove 'we capture the language'; only Beta proves 'it shows up in your copy'.</t>
        </is>
      </c>
    </row>
    <row r="10" ht="48" customHeight="1">
      <c r="A10" s="4" t="inlineStr">
        <is>
          <t>P-006</t>
        </is>
      </c>
      <c r="B10" s="4" t="inlineStr">
        <is>
          <t>My existing image/video set is doing something — but I can't tell what's missing or off.</t>
        </is>
      </c>
      <c r="C10" s="4" t="inlineStr">
        <is>
          <t>GA</t>
        </is>
      </c>
      <c r="D10" s="4" t="inlineStr">
        <is>
          <t>No</t>
        </is>
      </c>
      <c r="E10" s="4" t="inlineStr">
        <is>
          <t>F-006,F-007,F-054,F-055</t>
        </is>
      </c>
      <c r="F10" s="4" t="n">
        <v>4</v>
      </c>
      <c r="G10" s="4">
        <f>(COUNTIFS('Features'!$A$3:$A$72,"F-006",'Features'!$G$3:$G$72,"complete")+COUNTIFS('Features'!$A$3:$A$72,"F-006",'Features'!$G$3:$G$72,"in_review")+COUNTIFS('Features'!$A$3:$A$72,"F-007",'Features'!$G$3:$G$72,"complete")+COUNTIFS('Features'!$A$3:$A$72,"F-007",'Features'!$G$3:$G$72,"in_review")+COUNTIFS('Features'!$A$3:$A$72,"F-054",'Features'!$G$3:$G$72,"complete")+COUNTIFS('Features'!$A$3:$A$72,"F-054",'Features'!$G$3:$G$72,"in_review")+COUNTIFS('Features'!$A$3:$A$72,"F-055",'Features'!$G$3:$G$72,"complete")+COUNTIFS('Features'!$A$3:$A$72,"F-055",'Features'!$G$3:$G$72,"in_review"))</f>
        <v/>
      </c>
      <c r="H10" s="4">
        <f>IF((COUNTIFS('Features'!$A$3:$A$72,"F-006",'Features'!$G$3:$G$72,"blocked")+COUNTIFS('Features'!$A$3:$A$72,"F-007",'Features'!$G$3:$G$72,"blocked")+COUNTIFS('Features'!$A$3:$A$72,"F-054",'Features'!$G$3:$G$72,"blocked")+COUNTIFS('Features'!$A$3:$A$72,"F-055",'Features'!$G$3:$G$72,"blocked"))&gt;0,"BLOCKED — see mapped features",IF((COUNTIFS('Features'!$A$3:$A$72,"F-006",'Features'!$G$3:$G$72,"complete")+COUNTIFS('Features'!$A$3:$A$72,"F-006",'Features'!$G$3:$G$72,"in_review")+COUNTIFS('Features'!$A$3:$A$72,"F-007",'Features'!$G$3:$G$72,"complete")+COUNTIFS('Features'!$A$3:$A$72,"F-007",'Features'!$G$3:$G$72,"in_review")+COUNTIFS('Features'!$A$3:$A$72,"F-054",'Features'!$G$3:$G$72,"complete")+COUNTIFS('Features'!$A$3:$A$72,"F-054",'Features'!$G$3:$G$72,"in_review")+COUNTIFS('Features'!$A$3:$A$72,"F-055",'Features'!$G$3:$G$72,"complete")+COUNTIFS('Features'!$A$3:$A$72,"F-055",'Features'!$G$3:$G$72,"in_review"))=4,"MET",IF((COUNTIFS('Features'!$A$3:$A$72,"F-006",'Features'!$G$3:$G$72,"complete")+COUNTIFS('Features'!$A$3:$A$72,"F-006",'Features'!$G$3:$G$72,"in_review")+COUNTIFS('Features'!$A$3:$A$72,"F-007",'Features'!$G$3:$G$72,"complete")+COUNTIFS('Features'!$A$3:$A$72,"F-007",'Features'!$G$3:$G$72,"in_review")+COUNTIFS('Features'!$A$3:$A$72,"F-054",'Features'!$G$3:$G$72,"complete")+COUNTIFS('Features'!$A$3:$A$72,"F-054",'Features'!$G$3:$G$72,"in_review")+COUNTIFS('Features'!$A$3:$A$72,"F-055",'Features'!$G$3:$G$72,"complete")+COUNTIFS('Features'!$A$3:$A$72,"F-055",'Features'!$G$3:$G$72,"in_review"))=0,"OPEN — 0 of 4","PARTIAL — "&amp;(COUNTIFS('Features'!$A$3:$A$72,"F-006",'Features'!$G$3:$G$72,"complete")+COUNTIFS('Features'!$A$3:$A$72,"F-006",'Features'!$G$3:$G$72,"in_review")+COUNTIFS('Features'!$A$3:$A$72,"F-007",'Features'!$G$3:$G$72,"complete")+COUNTIFS('Features'!$A$3:$A$72,"F-007",'Features'!$G$3:$G$72,"in_review")+COUNTIFS('Features'!$A$3:$A$72,"F-054",'Features'!$G$3:$G$72,"complete")+COUNTIFS('Features'!$A$3:$A$72,"F-054",'Features'!$G$3:$G$72,"in_review")+COUNTIFS('Features'!$A$3:$A$72,"F-055",'Features'!$G$3:$G$72,"complete")+COUNTIFS('Features'!$A$3:$A$72,"F-055",'Features'!$G$3:$G$72,"in_review"))&amp;" of 4")))</f>
        <v/>
      </c>
      <c r="I10" s="4" t="inlineStr">
        <is>
          <t>InfinityVault's specific need (N-002). F-054 is conditional on the asset-tracking decision gate. F-006/F-007 supply the 'what should this connect to' context.</t>
        </is>
      </c>
    </row>
    <row r="11" ht="48" customHeight="1">
      <c r="A11" s="4" t="inlineStr">
        <is>
          <t>P-007</t>
        </is>
      </c>
      <c r="B11" s="4" t="inlineStr">
        <is>
          <t>I have no thinking partner who remembers my brand.</t>
        </is>
      </c>
      <c r="C11" s="4" t="inlineStr">
        <is>
          <t>Beta</t>
        </is>
      </c>
      <c r="D11" s="4" t="inlineStr">
        <is>
          <t>No</t>
        </is>
      </c>
      <c r="E11" s="4" t="inlineStr">
        <is>
          <t>F-022,F-031,F-049</t>
        </is>
      </c>
      <c r="F11" s="4" t="n">
        <v>3</v>
      </c>
      <c r="G11" s="4">
        <f>(COUNTIFS('Features'!$A$3:$A$72,"F-022",'Features'!$G$3:$G$72,"complete")+COUNTIFS('Features'!$A$3:$A$72,"F-022",'Features'!$G$3:$G$72,"in_review")+COUNTIFS('Features'!$A$3:$A$72,"F-031",'Features'!$G$3:$G$72,"complete")+COUNTIFS('Features'!$A$3:$A$72,"F-031",'Features'!$G$3:$G$72,"in_review")+COUNTIFS('Features'!$A$3:$A$72,"F-049",'Features'!$G$3:$G$72,"complete")+COUNTIFS('Features'!$A$3:$A$72,"F-049",'Features'!$G$3:$G$72,"in_review"))</f>
        <v/>
      </c>
      <c r="H11" s="4">
        <f>IF((COUNTIFS('Features'!$A$3:$A$72,"F-022",'Features'!$G$3:$G$72,"blocked")+COUNTIFS('Features'!$A$3:$A$72,"F-031",'Features'!$G$3:$G$72,"blocked")+COUNTIFS('Features'!$A$3:$A$72,"F-049",'Features'!$G$3:$G$72,"blocked"))&gt;0,"BLOCKED — see mapped features",IF((COUNTIFS('Features'!$A$3:$A$72,"F-022",'Features'!$G$3:$G$72,"complete")+COUNTIFS('Features'!$A$3:$A$72,"F-022",'Features'!$G$3:$G$72,"in_review")+COUNTIFS('Features'!$A$3:$A$72,"F-031",'Features'!$G$3:$G$72,"complete")+COUNTIFS('Features'!$A$3:$A$72,"F-031",'Features'!$G$3:$G$72,"in_review")+COUNTIFS('Features'!$A$3:$A$72,"F-049",'Features'!$G$3:$G$72,"complete")+COUNTIFS('Features'!$A$3:$A$72,"F-049",'Features'!$G$3:$G$72,"in_review"))=3,"MET",IF((COUNTIFS('Features'!$A$3:$A$72,"F-022",'Features'!$G$3:$G$72,"complete")+COUNTIFS('Features'!$A$3:$A$72,"F-022",'Features'!$G$3:$G$72,"in_review")+COUNTIFS('Features'!$A$3:$A$72,"F-031",'Features'!$G$3:$G$72,"complete")+COUNTIFS('Features'!$A$3:$A$72,"F-031",'Features'!$G$3:$G$72,"in_review")+COUNTIFS('Features'!$A$3:$A$72,"F-049",'Features'!$G$3:$G$72,"complete")+COUNTIFS('Features'!$A$3:$A$72,"F-049",'Features'!$G$3:$G$72,"in_review"))=0,"OPEN — 0 of 3","PARTIAL — "&amp;(COUNTIFS('Features'!$A$3:$A$72,"F-022",'Features'!$G$3:$G$72,"complete")+COUNTIFS('Features'!$A$3:$A$72,"F-022",'Features'!$G$3:$G$72,"in_review")+COUNTIFS('Features'!$A$3:$A$72,"F-031",'Features'!$G$3:$G$72,"complete")+COUNTIFS('Features'!$A$3:$A$72,"F-031",'Features'!$G$3:$G$72,"in_review")+COUNTIFS('Features'!$A$3:$A$72,"F-049",'Features'!$G$3:$G$72,"complete")+COUNTIFS('Features'!$A$3:$A$72,"F-049",'Features'!$G$3:$G$72,"in_review"))&amp;" of 3")))</f>
        <v/>
      </c>
      <c r="I11" s="4" t="inlineStr">
        <is>
          <t>F-022 Coach mode is the answer. RAG (F-049) makes the memory queryable. F-031 (My Brands) lets the partner know which brand we're discussing.</t>
        </is>
      </c>
    </row>
    <row r="12" ht="48" customHeight="1">
      <c r="A12" s="4" t="inlineStr">
        <is>
          <t>P-008</t>
        </is>
      </c>
      <c r="B12" s="4" t="inlineStr">
        <is>
          <t>I can't cheaply test multiple positioning angles.</t>
        </is>
      </c>
      <c r="C12" s="4" t="inlineStr">
        <is>
          <t>Beta</t>
        </is>
      </c>
      <c r="D12" s="4" t="inlineStr">
        <is>
          <t>No</t>
        </is>
      </c>
      <c r="E12" s="4" t="inlineStr">
        <is>
          <t>F-042,F-053,F-055</t>
        </is>
      </c>
      <c r="F12" s="4" t="n">
        <v>3</v>
      </c>
      <c r="G12" s="4">
        <f>(COUNTIFS('Features'!$A$3:$A$72,"F-042",'Features'!$G$3:$G$72,"complete")+COUNTIFS('Features'!$A$3:$A$72,"F-042",'Features'!$G$3:$G$72,"in_review")+COUNTIFS('Features'!$A$3:$A$72,"F-053",'Features'!$G$3:$G$72,"complete")+COUNTIFS('Features'!$A$3:$A$72,"F-053",'Features'!$G$3:$G$72,"in_review")+COUNTIFS('Features'!$A$3:$A$72,"F-055",'Features'!$G$3:$G$72,"complete")+COUNTIFS('Features'!$A$3:$A$72,"F-055",'Features'!$G$3:$G$72,"in_review"))</f>
        <v/>
      </c>
      <c r="H12" s="4">
        <f>IF((COUNTIFS('Features'!$A$3:$A$72,"F-042",'Features'!$G$3:$G$72,"blocked")+COUNTIFS('Features'!$A$3:$A$72,"F-053",'Features'!$G$3:$G$72,"blocked")+COUNTIFS('Features'!$A$3:$A$72,"F-055",'Features'!$G$3:$G$72,"blocked"))&gt;0,"BLOCKED — see mapped features",IF((COUNTIFS('Features'!$A$3:$A$72,"F-042",'Features'!$G$3:$G$72,"complete")+COUNTIFS('Features'!$A$3:$A$72,"F-042",'Features'!$G$3:$G$72,"in_review")+COUNTIFS('Features'!$A$3:$A$72,"F-053",'Features'!$G$3:$G$72,"complete")+COUNTIFS('Features'!$A$3:$A$72,"F-053",'Features'!$G$3:$G$72,"in_review")+COUNTIFS('Features'!$A$3:$A$72,"F-055",'Features'!$G$3:$G$72,"complete")+COUNTIFS('Features'!$A$3:$A$72,"F-055",'Features'!$G$3:$G$72,"in_review"))=3,"MET",IF((COUNTIFS('Features'!$A$3:$A$72,"F-042",'Features'!$G$3:$G$72,"complete")+COUNTIFS('Features'!$A$3:$A$72,"F-042",'Features'!$G$3:$G$72,"in_review")+COUNTIFS('Features'!$A$3:$A$72,"F-053",'Features'!$G$3:$G$72,"complete")+COUNTIFS('Features'!$A$3:$A$72,"F-053",'Features'!$G$3:$G$72,"in_review")+COUNTIFS('Features'!$A$3:$A$72,"F-055",'Features'!$G$3:$G$72,"complete")+COUNTIFS('Features'!$A$3:$A$72,"F-055",'Features'!$G$3:$G$72,"in_review"))=0,"OPEN — 0 of 3","PARTIAL — "&amp;(COUNTIFS('Features'!$A$3:$A$72,"F-042",'Features'!$G$3:$G$72,"complete")+COUNTIFS('Features'!$A$3:$A$72,"F-042",'Features'!$G$3:$G$72,"in_review")+COUNTIFS('Features'!$A$3:$A$72,"F-053",'Features'!$G$3:$G$72,"complete")+COUNTIFS('Features'!$A$3:$A$72,"F-053",'Features'!$G$3:$G$72,"in_review")+COUNTIFS('Features'!$A$3:$A$72,"F-055",'Features'!$G$3:$G$72,"complete")+COUNTIFS('Features'!$A$3:$A$72,"F-055",'Features'!$G$3:$G$72,"in_review"))&amp;" of 3")))</f>
        <v/>
      </c>
      <c r="I12" s="4" t="inlineStr">
        <is>
          <t>F-053 is the primary fulfilment. F-055 lets each angle drive its own design brief. F-042 comparison view (GA) lets the user A/B them.</t>
        </is>
      </c>
    </row>
    <row r="13" ht="48" customHeight="1">
      <c r="A13" s="4" t="inlineStr">
        <is>
          <t>P-009</t>
        </is>
      </c>
      <c r="B13" s="4" t="inlineStr">
        <is>
          <t>I can't tell when my strategy and my live assets have drifted apart.</t>
        </is>
      </c>
      <c r="C13" s="4" t="inlineStr">
        <is>
          <t>GA</t>
        </is>
      </c>
      <c r="D13" s="4" t="inlineStr">
        <is>
          <t>No</t>
        </is>
      </c>
      <c r="E13" s="4" t="inlineStr">
        <is>
          <t>F-028,F-029,F-030,F-043,F-054</t>
        </is>
      </c>
      <c r="F13" s="4" t="n">
        <v>5</v>
      </c>
      <c r="G13" s="4">
        <f>(COUNTIFS('Features'!$A$3:$A$72,"F-028",'Features'!$G$3:$G$72,"complete")+COUNTIFS('Features'!$A$3:$A$72,"F-028",'Features'!$G$3:$G$72,"in_review")+COUNTIFS('Features'!$A$3:$A$72,"F-029",'Features'!$G$3:$G$72,"complete")+COUNTIFS('Features'!$A$3:$A$72,"F-029",'Features'!$G$3:$G$72,"in_review")+COUNTIFS('Features'!$A$3:$A$72,"F-030",'Features'!$G$3:$G$72,"complete")+COUNTIFS('Features'!$A$3:$A$72,"F-030",'Features'!$G$3:$G$72,"in_review")+COUNTIFS('Features'!$A$3:$A$72,"F-043",'Features'!$G$3:$G$72,"complete")+COUNTIFS('Features'!$A$3:$A$72,"F-043",'Features'!$G$3:$G$72,"in_review")+COUNTIFS('Features'!$A$3:$A$72,"F-054",'Features'!$G$3:$G$72,"complete")+COUNTIFS('Features'!$A$3:$A$72,"F-054",'Features'!$G$3:$G$72,"in_review"))</f>
        <v/>
      </c>
      <c r="H13" s="4">
        <f>IF((COUNTIFS('Features'!$A$3:$A$72,"F-028",'Features'!$G$3:$G$72,"blocked")+COUNTIFS('Features'!$A$3:$A$72,"F-029",'Features'!$G$3:$G$72,"blocked")+COUNTIFS('Features'!$A$3:$A$72,"F-030",'Features'!$G$3:$G$72,"blocked")+COUNTIFS('Features'!$A$3:$A$72,"F-043",'Features'!$G$3:$G$72,"blocked")+COUNTIFS('Features'!$A$3:$A$72,"F-054",'Features'!$G$3:$G$72,"blocked"))&gt;0,"BLOCKED — see mapped features",IF((COUNTIFS('Features'!$A$3:$A$72,"F-028",'Features'!$G$3:$G$72,"complete")+COUNTIFS('Features'!$A$3:$A$72,"F-028",'Features'!$G$3:$G$72,"in_review")+COUNTIFS('Features'!$A$3:$A$72,"F-029",'Features'!$G$3:$G$72,"complete")+COUNTIFS('Features'!$A$3:$A$72,"F-029",'Features'!$G$3:$G$72,"in_review")+COUNTIFS('Features'!$A$3:$A$72,"F-030",'Features'!$G$3:$G$72,"complete")+COUNTIFS('Features'!$A$3:$A$72,"F-030",'Features'!$G$3:$G$72,"in_review")+COUNTIFS('Features'!$A$3:$A$72,"F-043",'Features'!$G$3:$G$72,"complete")+COUNTIFS('Features'!$A$3:$A$72,"F-043",'Features'!$G$3:$G$72,"in_review")+COUNTIFS('Features'!$A$3:$A$72,"F-054",'Features'!$G$3:$G$72,"complete")+COUNTIFS('Features'!$A$3:$A$72,"F-054",'Features'!$G$3:$G$72,"in_review"))=5,"MET",IF((COUNTIFS('Features'!$A$3:$A$72,"F-028",'Features'!$G$3:$G$72,"complete")+COUNTIFS('Features'!$A$3:$A$72,"F-028",'Features'!$G$3:$G$72,"in_review")+COUNTIFS('Features'!$A$3:$A$72,"F-029",'Features'!$G$3:$G$72,"complete")+COUNTIFS('Features'!$A$3:$A$72,"F-029",'Features'!$G$3:$G$72,"in_review")+COUNTIFS('Features'!$A$3:$A$72,"F-030",'Features'!$G$3:$G$72,"complete")+COUNTIFS('Features'!$A$3:$A$72,"F-030",'Features'!$G$3:$G$72,"in_review")+COUNTIFS('Features'!$A$3:$A$72,"F-043",'Features'!$G$3:$G$72,"complete")+COUNTIFS('Features'!$A$3:$A$72,"F-043",'Features'!$G$3:$G$72,"in_review")+COUNTIFS('Features'!$A$3:$A$72,"F-054",'Features'!$G$3:$G$72,"complete")+COUNTIFS('Features'!$A$3:$A$72,"F-054",'Features'!$G$3:$G$72,"in_review"))=0,"OPEN — 0 of 5","PARTIAL — "&amp;(COUNTIFS('Features'!$A$3:$A$72,"F-028",'Features'!$G$3:$G$72,"complete")+COUNTIFS('Features'!$A$3:$A$72,"F-028",'Features'!$G$3:$G$72,"in_review")+COUNTIFS('Features'!$A$3:$A$72,"F-029",'Features'!$G$3:$G$72,"complete")+COUNTIFS('Features'!$A$3:$A$72,"F-029",'Features'!$G$3:$G$72,"in_review")+COUNTIFS('Features'!$A$3:$A$72,"F-030",'Features'!$G$3:$G$72,"complete")+COUNTIFS('Features'!$A$3:$A$72,"F-030",'Features'!$G$3:$G$72,"in_review")+COUNTIFS('Features'!$A$3:$A$72,"F-043",'Features'!$G$3:$G$72,"complete")+COUNTIFS('Features'!$A$3:$A$72,"F-043",'Features'!$G$3:$G$72,"in_review")+COUNTIFS('Features'!$A$3:$A$72,"F-054",'Features'!$G$3:$G$72,"complete")+COUNTIFS('Features'!$A$3:$A$72,"F-054",'Features'!$G$3:$G$72,"in_review"))&amp;" of 5")))</f>
        <v/>
      </c>
      <c r="I13" s="4" t="inlineStr">
        <is>
          <t>Conditional on the asset-tracking decision. F-043 field edit history adds the temporal dimension on the strategy side.</t>
        </is>
      </c>
    </row>
    <row r="14" ht="48" customHeight="1">
      <c r="A14" s="4" t="inlineStr">
        <is>
          <t>P-010</t>
        </is>
      </c>
      <c r="B14" s="4" t="inlineStr">
        <is>
          <t>Every marketing decision feels reactive.</t>
        </is>
      </c>
      <c r="C14" s="4" t="inlineStr">
        <is>
          <t>GA</t>
        </is>
      </c>
      <c r="D14" s="4" t="inlineStr">
        <is>
          <t>No</t>
        </is>
      </c>
      <c r="E14" s="4" t="inlineStr">
        <is>
          <t>F-008,F-022,F-038,F-053</t>
        </is>
      </c>
      <c r="F14" s="4" t="n">
        <v>4</v>
      </c>
      <c r="G14" s="4">
        <f>(COUNTIFS('Features'!$A$3:$A$72,"F-008",'Features'!$G$3:$G$72,"complete")+COUNTIFS('Features'!$A$3:$A$72,"F-008",'Features'!$G$3:$G$72,"in_review")+COUNTIFS('Features'!$A$3:$A$72,"F-022",'Features'!$G$3:$G$72,"complete")+COUNTIFS('Features'!$A$3:$A$72,"F-022",'Features'!$G$3:$G$72,"in_review")+COUNTIFS('Features'!$A$3:$A$72,"F-038",'Features'!$G$3:$G$72,"complete")+COUNTIFS('Features'!$A$3:$A$72,"F-038",'Features'!$G$3:$G$72,"in_review")+COUNTIFS('Features'!$A$3:$A$72,"F-053",'Features'!$G$3:$G$72,"complete")+COUNTIFS('Features'!$A$3:$A$72,"F-053",'Features'!$G$3:$G$72,"in_review"))</f>
        <v/>
      </c>
      <c r="H14" s="4">
        <f>IF((COUNTIFS('Features'!$A$3:$A$72,"F-008",'Features'!$G$3:$G$72,"blocked")+COUNTIFS('Features'!$A$3:$A$72,"F-022",'Features'!$G$3:$G$72,"blocked")+COUNTIFS('Features'!$A$3:$A$72,"F-038",'Features'!$G$3:$G$72,"blocked")+COUNTIFS('Features'!$A$3:$A$72,"F-053",'Features'!$G$3:$G$72,"blocked"))&gt;0,"BLOCKED — see mapped features",IF((COUNTIFS('Features'!$A$3:$A$72,"F-008",'Features'!$G$3:$G$72,"complete")+COUNTIFS('Features'!$A$3:$A$72,"F-008",'Features'!$G$3:$G$72,"in_review")+COUNTIFS('Features'!$A$3:$A$72,"F-022",'Features'!$G$3:$G$72,"complete")+COUNTIFS('Features'!$A$3:$A$72,"F-022",'Features'!$G$3:$G$72,"in_review")+COUNTIFS('Features'!$A$3:$A$72,"F-038",'Features'!$G$3:$G$72,"complete")+COUNTIFS('Features'!$A$3:$A$72,"F-038",'Features'!$G$3:$G$72,"in_review")+COUNTIFS('Features'!$A$3:$A$72,"F-053",'Features'!$G$3:$G$72,"complete")+COUNTIFS('Features'!$A$3:$A$72,"F-053",'Features'!$G$3:$G$72,"in_review"))=4,"MET",IF((COUNTIFS('Features'!$A$3:$A$72,"F-008",'Features'!$G$3:$G$72,"complete")+COUNTIFS('Features'!$A$3:$A$72,"F-008",'Features'!$G$3:$G$72,"in_review")+COUNTIFS('Features'!$A$3:$A$72,"F-022",'Features'!$G$3:$G$72,"complete")+COUNTIFS('Features'!$A$3:$A$72,"F-022",'Features'!$G$3:$G$72,"in_review")+COUNTIFS('Features'!$A$3:$A$72,"F-038",'Features'!$G$3:$G$72,"complete")+COUNTIFS('Features'!$A$3:$A$72,"F-038",'Features'!$G$3:$G$72,"in_review")+COUNTIFS('Features'!$A$3:$A$72,"F-053",'Features'!$G$3:$G$72,"complete")+COUNTIFS('Features'!$A$3:$A$72,"F-053",'Features'!$G$3:$G$72,"in_review"))=0,"OPEN — 0 of 4","PARTIAL — "&amp;(COUNTIFS('Features'!$A$3:$A$72,"F-008",'Features'!$G$3:$G$72,"complete")+COUNTIFS('Features'!$A$3:$A$72,"F-008",'Features'!$G$3:$G$72,"in_review")+COUNTIFS('Features'!$A$3:$A$72,"F-022",'Features'!$G$3:$G$72,"complete")+COUNTIFS('Features'!$A$3:$A$72,"F-022",'Features'!$G$3:$G$72,"in_review")+COUNTIFS('Features'!$A$3:$A$72,"F-038",'Features'!$G$3:$G$72,"complete")+COUNTIFS('Features'!$A$3:$A$72,"F-038",'Features'!$G$3:$G$72,"in_review")+COUNTIFS('Features'!$A$3:$A$72,"F-053",'Features'!$G$3:$G$72,"complete")+COUNTIFS('Features'!$A$3:$A$72,"F-053",'Features'!$G$3:$G$72,"in_review"))&amp;" of 4")))</f>
        <v/>
      </c>
      <c r="I14" s="4" t="inlineStr">
        <is>
          <t>Forensic Canvas as North Star (F-008), Coach for ongoing decisions (F-022), performance metrics (F-038) close the loop. F-053 lets decisions live at the angle level.</t>
        </is>
      </c>
    </row>
    <row r="15" ht="48" customHeight="1">
      <c r="A15" s="4" t="inlineStr">
        <is>
          <t>P-011</t>
        </is>
      </c>
      <c r="B15" s="4" t="inlineStr">
        <is>
          <t>I don't know where my brand is failing.</t>
        </is>
      </c>
      <c r="C15" s="4" t="inlineStr">
        <is>
          <t>Alpha</t>
        </is>
      </c>
      <c r="D15" s="4" t="inlineStr">
        <is>
          <t>Yes</t>
        </is>
      </c>
      <c r="E15" s="4" t="inlineStr">
        <is>
          <t>F-057,F-059,F-027</t>
        </is>
      </c>
      <c r="F15" s="4" t="n">
        <v>3</v>
      </c>
      <c r="G15" s="4">
        <f>(COUNTIFS('Features'!$A$3:$A$72,"F-057",'Features'!$G$3:$G$72,"complete")+COUNTIFS('Features'!$A$3:$A$72,"F-057",'Features'!$G$3:$G$72,"in_review")+COUNTIFS('Features'!$A$3:$A$72,"F-059",'Features'!$G$3:$G$72,"complete")+COUNTIFS('Features'!$A$3:$A$72,"F-059",'Features'!$G$3:$G$72,"in_review")+COUNTIFS('Features'!$A$3:$A$72,"F-027",'Features'!$G$3:$G$72,"complete")+COUNTIFS('Features'!$A$3:$A$72,"F-027",'Features'!$G$3:$G$72,"in_review"))</f>
        <v/>
      </c>
      <c r="H15" s="4">
        <f>IF((COUNTIFS('Features'!$A$3:$A$72,"F-057",'Features'!$G$3:$G$72,"blocked")+COUNTIFS('Features'!$A$3:$A$72,"F-059",'Features'!$G$3:$G$72,"blocked")+COUNTIFS('Features'!$A$3:$A$72,"F-027",'Features'!$G$3:$G$72,"blocked"))&gt;0,"BLOCKED — see mapped features",IF((COUNTIFS('Features'!$A$3:$A$72,"F-057",'Features'!$G$3:$G$72,"complete")+COUNTIFS('Features'!$A$3:$A$72,"F-057",'Features'!$G$3:$G$72,"in_review")+COUNTIFS('Features'!$A$3:$A$72,"F-059",'Features'!$G$3:$G$72,"complete")+COUNTIFS('Features'!$A$3:$A$72,"F-059",'Features'!$G$3:$G$72,"in_review")+COUNTIFS('Features'!$A$3:$A$72,"F-027",'Features'!$G$3:$G$72,"complete")+COUNTIFS('Features'!$A$3:$A$72,"F-027",'Features'!$G$3:$G$72,"in_review"))=3,"MET",IF((COUNTIFS('Features'!$A$3:$A$72,"F-057",'Features'!$G$3:$G$72,"complete")+COUNTIFS('Features'!$A$3:$A$72,"F-057",'Features'!$G$3:$G$72,"in_review")+COUNTIFS('Features'!$A$3:$A$72,"F-059",'Features'!$G$3:$G$72,"complete")+COUNTIFS('Features'!$A$3:$A$72,"F-059",'Features'!$G$3:$G$72,"in_review")+COUNTIFS('Features'!$A$3:$A$72,"F-027",'Features'!$G$3:$G$72,"complete")+COUNTIFS('Features'!$A$3:$A$72,"F-027",'Features'!$G$3:$G$72,"in_review"))=0,"OPEN — 0 of 3","PARTIAL — "&amp;(COUNTIFS('Features'!$A$3:$A$72,"F-057",'Features'!$G$3:$G$72,"complete")+COUNTIFS('Features'!$A$3:$A$72,"F-057",'Features'!$G$3:$G$72,"in_review")+COUNTIFS('Features'!$A$3:$A$72,"F-059",'Features'!$G$3:$G$72,"complete")+COUNTIFS('Features'!$A$3:$A$72,"F-059",'Features'!$G$3:$G$72,"in_review")+COUNTIFS('Features'!$A$3:$A$72,"F-027",'Features'!$G$3:$G$72,"complete")+COUNTIFS('Features'!$A$3:$A$72,"F-027",'Features'!$G$3:$G$72,"in_review"))&amp;" of 3")))</f>
        <v/>
      </c>
      <c r="I15" s="4" t="inlineStr">
        <is>
          <t>GEN3 (2026-05-25): Trevor's problem #3/#9 — the Trust Gap™ Score (F-057) names the gap (insight / positioning / empathy / authenticity) and the bridge (F-059) turns it into momentum. MVP-critical: this is the hook, validate FIRST [Analysis 2026-05-17]. Free tier.</t>
        </is>
      </c>
    </row>
    <row r="16" ht="48" customHeight="1">
      <c r="A16" s="4" t="inlineStr">
        <is>
          <t>P-012</t>
        </is>
      </c>
      <c r="B16" s="4" t="inlineStr">
        <is>
          <t>Brand strategy expertise is inaccessible at my price point.</t>
        </is>
      </c>
      <c r="C16" s="4" t="inlineStr">
        <is>
          <t>Beta</t>
        </is>
      </c>
      <c r="D16" s="4" t="inlineStr">
        <is>
          <t>No</t>
        </is>
      </c>
      <c r="E16" s="4" t="inlineStr">
        <is>
          <t>F-019,F-064</t>
        </is>
      </c>
      <c r="F16" s="4" t="n">
        <v>2</v>
      </c>
      <c r="G16" s="4">
        <f>(COUNTIFS('Features'!$A$3:$A$72,"F-019",'Features'!$G$3:$G$72,"complete")+COUNTIFS('Features'!$A$3:$A$72,"F-019",'Features'!$G$3:$G$72,"in_review")+COUNTIFS('Features'!$A$3:$A$72,"F-064",'Features'!$G$3:$G$72,"complete")+COUNTIFS('Features'!$A$3:$A$72,"F-064",'Features'!$G$3:$G$72,"in_review"))</f>
        <v/>
      </c>
      <c r="H16" s="4">
        <f>IF((COUNTIFS('Features'!$A$3:$A$72,"F-019",'Features'!$G$3:$G$72,"blocked")+COUNTIFS('Features'!$A$3:$A$72,"F-064",'Features'!$G$3:$G$72,"blocked"))&gt;0,"BLOCKED — see mapped features",IF((COUNTIFS('Features'!$A$3:$A$72,"F-019",'Features'!$G$3:$G$72,"complete")+COUNTIFS('Features'!$A$3:$A$72,"F-019",'Features'!$G$3:$G$72,"in_review")+COUNTIFS('Features'!$A$3:$A$72,"F-064",'Features'!$G$3:$G$72,"complete")+COUNTIFS('Features'!$A$3:$A$72,"F-064",'Features'!$G$3:$G$72,"in_review"))=2,"MET",IF((COUNTIFS('Features'!$A$3:$A$72,"F-019",'Features'!$G$3:$G$72,"complete")+COUNTIFS('Features'!$A$3:$A$72,"F-019",'Features'!$G$3:$G$72,"in_review")+COUNTIFS('Features'!$A$3:$A$72,"F-064",'Features'!$G$3:$G$72,"complete")+COUNTIFS('Features'!$A$3:$A$72,"F-064",'Features'!$G$3:$G$72,"in_review"))=0,"OPEN — 0 of 2","PARTIAL — "&amp;(COUNTIFS('Features'!$A$3:$A$72,"F-019",'Features'!$G$3:$G$72,"complete")+COUNTIFS('Features'!$A$3:$A$72,"F-019",'Features'!$G$3:$G$72,"in_review")+COUNTIFS('Features'!$A$3:$A$72,"F-064",'Features'!$G$3:$G$72,"complete")+COUNTIFS('Features'!$A$3:$A$72,"F-064",'Features'!$G$3:$G$72,"in_review"))&amp;" of 2")))</f>
        <v/>
      </c>
      <c r="I16" s="4" t="inlineStr">
        <is>
          <t>GEN3 (2026-05-25): Trevor's problem #7 — a brand strategist costs £3k–£15k; the freemium app (F-019) delivers structured brand thinking at £29/mo, with locked-but-visible fields (F-064) enticing upgrade. Paid tier.</t>
        </is>
      </c>
    </row>
  </sheetData>
  <mergeCells count="2">
    <mergeCell ref="A2:H2"/>
    <mergeCell ref="A1:H1"/>
  </mergeCells>
  <conditionalFormatting sqref="H5:H16">
    <cfRule type="expression" priority="1" dxfId="2">
      <formula>H5="MET"</formula>
    </cfRule>
    <cfRule type="expression" priority="2" dxfId="0">
      <formula>ISNUMBER(SEARCH("BLOCKED",H5))</formula>
    </cfRule>
    <cfRule type="expression" priority="3" dxfId="1">
      <formula>ISNUMBER(SEARCH("PARTIAL",H5))</formula>
    </cfRule>
    <cfRule type="expression" priority="4" dxfId="3">
      <formula>ISNUMBER(SEARCH("OPEN",H5))</formula>
    </cfRule>
  </conditionalFormatting>
  <conditionalFormatting sqref="D5:D16">
    <cfRule type="cellIs" priority="5" operator="equal" dxfId="2">
      <formula>"Yes"</formula>
    </cfRule>
    <cfRule type="cellIs" priority="6" operator="equal" dxfId="1">
      <formula>"Partial"</formula>
    </cfRule>
    <cfRule type="cellIs" priority="7" operator="equal" dxfId="3">
      <formula>"No"</formula>
    </cfRule>
  </conditionalFormatting>
  <dataValidations count="2">
    <dataValidation sqref="C5:C66" showDropDown="0" showInputMessage="0" showErrorMessage="0" allowBlank="1" errorTitle="Invalid entry" error="Value must match one of the allowed options." type="list">
      <formula1>"Alpha,Beta,GA,Post-GA"</formula1>
    </dataValidation>
    <dataValidation sqref="D5:D66" showDropDown="0" showInputMessage="0" showErrorMessage="0" allowBlank="1" errorTitle="Invalid entry" error="Value must match one of the allowed options." type="list">
      <formula1>"Yes,Partial,No"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16" customWidth="1" min="3" max="3"/>
    <col width="60" customWidth="1" min="4" max="4"/>
    <col width="14" customWidth="1" min="5" max="5"/>
    <col width="9" customWidth="1" min="6" max="6"/>
    <col width="14" customWidth="1" min="7" max="7"/>
    <col width="9" customWidth="1" min="8" max="8"/>
    <col width="32" customWidth="1" min="9" max="9"/>
    <col width="12" customWidth="1" min="10" max="10"/>
    <col width="18" customWidth="1" min="11" max="11"/>
    <col width="22" customWidth="1" min="12" max="12"/>
    <col width="10" customWidth="1" min="13" max="13"/>
    <col width="10" customWidth="1" min="14" max="14"/>
    <col width="60" customWidth="1" min="15" max="15"/>
    <col width="12" customWidth="1" min="16" max="16"/>
  </cols>
  <sheetData>
    <row r="1" ht="32" customHeight="1">
      <c r="A1" s="1" t="inlineStr">
        <is>
          <t>Features — implementation status by launch phase</t>
        </is>
      </c>
    </row>
    <row r="2" ht="28" customHeight="1">
      <c r="A2" s="3" t="inlineStr">
        <is>
          <t>feature_id</t>
        </is>
      </c>
      <c r="B2" s="3" t="inlineStr">
        <is>
          <t>feature_name</t>
        </is>
      </c>
      <c r="C2" s="3" t="inlineStr">
        <is>
          <t>area</t>
        </is>
      </c>
      <c r="D2" s="3" t="inlineStr">
        <is>
          <t>description</t>
        </is>
      </c>
      <c r="E2" s="3" t="inlineStr">
        <is>
          <t>phase_required</t>
        </is>
      </c>
      <c r="F2" s="3" t="inlineStr">
        <is>
          <t>priority</t>
        </is>
      </c>
      <c r="G2" s="3" t="inlineStr">
        <is>
          <t>status</t>
        </is>
      </c>
      <c r="H2" s="3" t="inlineStr">
        <is>
          <t>percent_complete</t>
        </is>
      </c>
      <c r="I2" s="3" t="inlineStr">
        <is>
          <t>blocker</t>
        </is>
      </c>
      <c r="J2" s="3" t="inlineStr">
        <is>
          <t>owner</t>
        </is>
      </c>
      <c r="K2" s="3" t="inlineStr">
        <is>
          <t>depends_on</t>
        </is>
      </c>
      <c r="L2" s="3" t="inlineStr">
        <is>
          <t>problems_addressed</t>
        </is>
      </c>
      <c r="M2" s="3" t="inlineStr">
        <is>
          <t>effort_estimate_hours</t>
        </is>
      </c>
      <c r="N2" s="3" t="inlineStr">
        <is>
          <t>actual_hours</t>
        </is>
      </c>
      <c r="O2" s="3" t="inlineStr">
        <is>
          <t>notes</t>
        </is>
      </c>
      <c r="P2" s="3" t="inlineStr">
        <is>
          <t>last_updated</t>
        </is>
      </c>
    </row>
    <row r="3" ht="42" customHeight="1">
      <c r="A3" s="4" t="inlineStr">
        <is>
          <t>F-001</t>
        </is>
      </c>
      <c r="B3" s="4" t="inlineStr">
        <is>
          <t>Layer 1 conversation engine</t>
        </is>
      </c>
      <c r="C3" s="4" t="inlineStr">
        <is>
          <t>conversation</t>
        </is>
      </c>
      <c r="D3" s="4" t="inlineStr">
        <is>
          <t>10-question Layer 1 flow with Trevor-voice fallback responses and real-time canvas-sidebar updates.</t>
        </is>
      </c>
      <c r="E3" s="4" t="inlineStr">
        <is>
          <t>Alpha</t>
        </is>
      </c>
      <c r="F3" s="4" t="inlineStr">
        <is>
          <t>P0</t>
        </is>
      </c>
      <c r="G3" s="4" t="inlineStr">
        <is>
          <t>in_progress</t>
        </is>
      </c>
      <c r="H3" s="7" t="n">
        <v>35</v>
      </c>
      <c r="I3" s="4" t="inlineStr"/>
      <c r="J3" s="4" t="inlineStr">
        <is>
          <t>Matthew</t>
        </is>
      </c>
      <c r="K3" s="4" t="inlineStr">
        <is>
          <t>F-018</t>
        </is>
      </c>
      <c r="L3" s="4" t="inlineStr">
        <is>
          <t>P-002</t>
        </is>
      </c>
      <c r="M3" s="4" t="n">
        <v>40</v>
      </c>
      <c r="N3" s="4" t="n">
        <v>0</v>
      </c>
      <c r="O3" s="4" t="inlineStr">
        <is>
          <t>AUDIT 2026-05-16: Trevor persona prompt + free-form Claude streaming exist; the *10-question script* and per-question off-topic fallbacks DO NOT (F-001.1/F-001.2). Streaming + persistence are solid. Mobile keyboard handling minimal.</t>
        </is>
      </c>
      <c r="P3" s="8" t="n">
        <v>46167</v>
      </c>
    </row>
    <row r="4" ht="42" customHeight="1">
      <c r="A4" s="4" t="inlineStr">
        <is>
          <t>F-002</t>
        </is>
      </c>
      <c r="B4" s="4" t="inlineStr">
        <is>
          <t>Canvas sidebar real-time population</t>
        </is>
      </c>
      <c r="C4" s="4" t="inlineStr">
        <is>
          <t>canvas</t>
        </is>
      </c>
      <c r="D4" s="4" t="inlineStr">
        <is>
          <t>Canvas sidebar updates as Layer 1 conversation progresses, showing extracted fields with confidence indicators.</t>
        </is>
      </c>
      <c r="E4" s="4" t="inlineStr">
        <is>
          <t>Alpha</t>
        </is>
      </c>
      <c r="F4" s="4" t="inlineStr">
        <is>
          <t>P0</t>
        </is>
      </c>
      <c r="G4" s="4" t="inlineStr">
        <is>
          <t>in_progress</t>
        </is>
      </c>
      <c r="H4" s="7" t="n">
        <v>65</v>
      </c>
      <c r="I4" s="4" t="inlineStr"/>
      <c r="J4" s="4" t="inlineStr">
        <is>
          <t>Matthew</t>
        </is>
      </c>
      <c r="K4" s="4" t="inlineStr">
        <is>
          <t>F-001,F-012</t>
        </is>
      </c>
      <c r="L4" s="4" t="inlineStr"/>
      <c r="M4" s="4" t="n">
        <v>20</v>
      </c>
      <c r="N4" s="4" t="n">
        <v>0</v>
      </c>
      <c r="O4" s="4" t="inlineStr">
        <is>
          <t>AUDIT 2026-05-16: Field-extraction → sidebar pipeline is mature (F-002.1, 80%). Quality badges render BUT use value heuristics (fieldQualityScore) not extractor confidence — acceptance criterion not literally met (F-002.2 reduced from 100→75). Mobile sheet works but state not persisted (F-002.3).</t>
        </is>
      </c>
      <c r="P4" s="8" t="n">
        <v>46167</v>
      </c>
    </row>
    <row r="5" ht="42" customHeight="1">
      <c r="A5" s="4" t="inlineStr">
        <is>
          <t>F-003</t>
        </is>
      </c>
      <c r="B5" s="4" t="inlineStr">
        <is>
          <t>Draft Canvas synthesis</t>
        </is>
      </c>
      <c r="C5" s="4" t="inlineStr">
        <is>
          <t>canvas</t>
        </is>
      </c>
      <c r="D5" s="4" t="inlineStr">
        <is>
          <t>Synthesise Layer 1 inputs into a coherent Draft Canvas with DRAFT badge and clear Forensic upgrade prompt.</t>
        </is>
      </c>
      <c r="E5" s="4" t="inlineStr">
        <is>
          <t>Alpha</t>
        </is>
      </c>
      <c r="F5" s="4" t="inlineStr">
        <is>
          <t>P0</t>
        </is>
      </c>
      <c r="G5" s="4" t="inlineStr">
        <is>
          <t>in_progress</t>
        </is>
      </c>
      <c r="H5" s="7" t="n">
        <v>14</v>
      </c>
      <c r="I5" s="4" t="inlineStr"/>
      <c r="J5" s="4" t="inlineStr">
        <is>
          <t>Matthew</t>
        </is>
      </c>
      <c r="K5" s="4" t="inlineStr">
        <is>
          <t>F-001,F-018</t>
        </is>
      </c>
      <c r="L5" s="4" t="inlineStr">
        <is>
          <t>P-003</t>
        </is>
      </c>
      <c r="M5" s="4" t="n">
        <v>24</v>
      </c>
      <c r="N5" s="4" t="n">
        <v>0</v>
      </c>
      <c r="O5" s="4" t="inlineStr">
        <is>
          <t>AUDIT 2026-05-16: Tier distinction is conceptual only — zero structural code hits for 'DRAFT'/'tier'. Synthesis with Trevor voice exists (generate-brand-strategy-section + voice.ts) but generates the full doc, not a Draft subset. DRAFT badge and Forensic upgrade CTA both 0%.</t>
        </is>
      </c>
      <c r="P5" s="8" t="n">
        <v>46167</v>
      </c>
    </row>
    <row r="6" ht="42" customHeight="1">
      <c r="A6" s="4" t="inlineStr">
        <is>
          <t>F-004</t>
        </is>
      </c>
      <c r="B6" s="4" t="inlineStr">
        <is>
          <t>Avatar Builder — Psychographic Profile</t>
        </is>
      </c>
      <c r="C6" s="4" t="inlineStr">
        <is>
          <t>avatar_builder</t>
        </is>
      </c>
      <c r="D6" s="4" t="inlineStr">
        <is>
          <t>Section 1 of the four-section Avatar Builder. Captures values, identity, worldview.</t>
        </is>
      </c>
      <c r="E6" s="4" t="inlineStr">
        <is>
          <t>Alpha</t>
        </is>
      </c>
      <c r="F6" s="4" t="inlineStr">
        <is>
          <t>P0</t>
        </is>
      </c>
      <c r="G6" s="4" t="inlineStr">
        <is>
          <t>in_progress</t>
        </is>
      </c>
      <c r="H6" s="7" t="n">
        <v>62</v>
      </c>
      <c r="I6" s="4" t="inlineStr"/>
      <c r="J6" s="4" t="inlineStr">
        <is>
          <t>Matthew</t>
        </is>
      </c>
      <c r="K6" s="4" t="inlineStr">
        <is>
          <t>F-003,F-009</t>
        </is>
      </c>
      <c r="L6" s="4" t="inlineStr">
        <is>
          <t>P-001,P-002</t>
        </is>
      </c>
      <c r="M6" s="4" t="n">
        <v>32</v>
      </c>
      <c r="N6" s="4" t="n">
        <v>0</v>
      </c>
      <c r="O6" s="4" t="inlineStr">
        <is>
          <t>AUDIT 2026-05-16: V2 chapter UI delivers progressive disclosure + persistence well, but field schema flattens Gen 3 psychographic dimensions into coarse textareas (F-004.1 60%). 3 of 4 AI modes present; FieldChatButton missing from V2 (F-004.3 35%). Completion gate logic exists but button not mounted in render tree (F-004.5 55%). RECONCILE (2026-05-25): maps into the new 5-stage conversational flow ending in The Signature (F-060); guided dialogue, not a 4-section form [F 144128256 @04:26]. 5-stage structure pending Trevor/Matthew sign-off.</t>
        </is>
      </c>
      <c r="P6" s="8" t="n">
        <v>46167</v>
      </c>
    </row>
    <row r="7" ht="42" customHeight="1">
      <c r="A7" s="4" t="inlineStr">
        <is>
          <t>F-005</t>
        </is>
      </c>
      <c r="B7" s="4" t="inlineStr">
        <is>
          <t>Avatar Builder — Buying Behaviour</t>
        </is>
      </c>
      <c r="C7" s="4" t="inlineStr">
        <is>
          <t>avatar_builder</t>
        </is>
      </c>
      <c r="D7" s="4" t="inlineStr">
        <is>
          <t>Section 2. Captures purchase triggers, objections, decision criteria, channels.</t>
        </is>
      </c>
      <c r="E7" s="4" t="inlineStr">
        <is>
          <t>Alpha</t>
        </is>
      </c>
      <c r="F7" s="4" t="inlineStr">
        <is>
          <t>P0</t>
        </is>
      </c>
      <c r="G7" s="4" t="inlineStr">
        <is>
          <t>in_progress</t>
        </is>
      </c>
      <c r="H7" s="7" t="n">
        <v>55</v>
      </c>
      <c r="I7" s="4" t="inlineStr"/>
      <c r="J7" s="4" t="inlineStr">
        <is>
          <t>Matthew</t>
        </is>
      </c>
      <c r="K7" s="4" t="inlineStr">
        <is>
          <t>F-004</t>
        </is>
      </c>
      <c r="L7" s="4" t="inlineStr">
        <is>
          <t>P-001,P-002</t>
        </is>
      </c>
      <c r="M7" s="4" t="n">
        <v>32</v>
      </c>
      <c r="N7" s="4" t="n">
        <v>0</v>
      </c>
      <c r="O7" s="4" t="inlineStr">
        <is>
          <t>AUDIT 2026-05-16: V2 chapter map has no dedicated 'Buying Behaviour' chapter — closest is BUYER_INTENT which is conceptually different. V1 AvatarBuilder has the right tab. Data shape exists; UI split V1↔V2. RECONCILE (2026-05-25): maps into the new 5-stage conversational flow ending in The Signature (F-060); guided dialogue, not a 4-section form [F 144128256 @04:26]. 5-stage structure pending Trevor/Matthew sign-off.</t>
        </is>
      </c>
      <c r="P7" s="8" t="n">
        <v>46167</v>
      </c>
    </row>
    <row r="8" ht="42" customHeight="1">
      <c r="A8" s="4" t="inlineStr">
        <is>
          <t>F-006</t>
        </is>
      </c>
      <c r="B8" s="4" t="inlineStr">
        <is>
          <t>Avatar Builder — Emotional Journey Mapping</t>
        </is>
      </c>
      <c r="C8" s="4" t="inlineStr">
        <is>
          <t>avatar_builder</t>
        </is>
      </c>
      <c r="D8" s="4" t="inlineStr">
        <is>
          <t>Section 3. Pre/during/post purchase emotional states; The Decision Trigger™ originates here (captured standalone in F-058).</t>
        </is>
      </c>
      <c r="E8" s="4" t="inlineStr">
        <is>
          <t>Alpha</t>
        </is>
      </c>
      <c r="F8" s="4" t="inlineStr">
        <is>
          <t>P0</t>
        </is>
      </c>
      <c r="G8" s="4" t="inlineStr">
        <is>
          <t>in_progress</t>
        </is>
      </c>
      <c r="H8" s="7" t="n">
        <v>43</v>
      </c>
      <c r="I8" s="4" t="inlineStr"/>
      <c r="J8" s="4" t="inlineStr">
        <is>
          <t>Matthew</t>
        </is>
      </c>
      <c r="K8" s="4" t="inlineStr">
        <is>
          <t>F-005</t>
        </is>
      </c>
      <c r="L8" s="4" t="inlineStr">
        <is>
          <t>P-001,P-002,P-006</t>
        </is>
      </c>
      <c r="M8" s="4" t="n">
        <v>36</v>
      </c>
      <c r="N8" s="4" t="n">
        <v>0</v>
      </c>
      <c r="O8" s="4" t="inlineStr">
        <is>
          <t>AUDIT 2026-05-16: Emotional fields exist (EMOTIONAL_CONNECTION + CUSTOMER_EXPERIENCE chapters) but Gen 3 Emotional Journey framing absent; Trigger Moment field with elevated visual treatment (F-006.2) is the most prominent miss — zero hits in codebase. RECONCILE (2026-05-25): maps into the new 5-stage conversational flow ending in The Signature (F-060); guided dialogue, not a 4-section form [F 144128256 @04:26]. 5-stage structure pending Trevor/Matthew sign-off.</t>
        </is>
      </c>
      <c r="P8" s="8" t="n">
        <v>46167</v>
      </c>
    </row>
    <row r="9" ht="42" customHeight="1">
      <c r="A9" s="4" t="inlineStr">
        <is>
          <t>F-007</t>
        </is>
      </c>
      <c r="B9" s="4" t="inlineStr">
        <is>
          <t>Avatar Builder — Voice of Customer</t>
        </is>
      </c>
      <c r="C9" s="4" t="inlineStr">
        <is>
          <t>avatar_builder</t>
        </is>
      </c>
      <c r="D9" s="4" t="inlineStr">
        <is>
          <t>Section 4. Paste-in reviews and testimonials; extract verbatim language for copy hooks.</t>
        </is>
      </c>
      <c r="E9" s="4" t="inlineStr">
        <is>
          <t>Alpha</t>
        </is>
      </c>
      <c r="F9" s="4" t="inlineStr">
        <is>
          <t>P0</t>
        </is>
      </c>
      <c r="G9" s="4" t="inlineStr">
        <is>
          <t>in_progress</t>
        </is>
      </c>
      <c r="H9" s="7" t="n">
        <v>30</v>
      </c>
      <c r="I9" s="4" t="inlineStr"/>
      <c r="J9" s="4" t="inlineStr">
        <is>
          <t>Matthew</t>
        </is>
      </c>
      <c r="K9" s="4" t="inlineStr">
        <is>
          <t>F-006</t>
        </is>
      </c>
      <c r="L9" s="4" t="inlineStr">
        <is>
          <t>P-001,P-002,P-005,P-006</t>
        </is>
      </c>
      <c r="M9" s="4" t="n">
        <v>40</v>
      </c>
      <c r="N9" s="4" t="n">
        <v>0</v>
      </c>
      <c r="O9" s="4" t="inlineStr">
        <is>
          <t>AUDIT 2026-05-16: Review intake is URL/ASIN-driven via ReviewAnalyzerModal (scrape model), not Gen 3 paste-raw-reviews model. voice-of-customer-analysis edge function DOES NOT EXIST. V1 analysis is fully mocked. Use/discard phrase cards (F-007.3) ~10%. RECONCILE (2026-05-25): maps into the new 5-stage conversational flow ending in The Signature (F-060); guided dialogue, not a 4-section form [F 144128256 @04:26]. 5-stage structure pending Trevor/Matthew sign-off.</t>
        </is>
      </c>
      <c r="P9" s="8" t="n">
        <v>46167</v>
      </c>
    </row>
    <row r="10" ht="42" customHeight="1">
      <c r="A10" s="4" t="inlineStr">
        <is>
          <t>F-008</t>
        </is>
      </c>
      <c r="B10" s="4" t="inlineStr">
        <is>
          <t>Forensic Canvas synthesis</t>
        </is>
      </c>
      <c r="C10" s="4" t="inlineStr">
        <is>
          <t>canvas</t>
        </is>
      </c>
      <c r="D10" s="4" t="inlineStr">
        <is>
          <t>28+ field canvas synthesised from Avatar Builder, auto-populating from Avatar data partially in real time; strategy doc generable at any point (no forced step-gating). The Decision Trigger™ displayed prominently.</t>
        </is>
      </c>
      <c r="E10" s="4" t="inlineStr">
        <is>
          <t>Alpha</t>
        </is>
      </c>
      <c r="F10" s="4" t="inlineStr">
        <is>
          <t>P0</t>
        </is>
      </c>
      <c r="G10" s="4" t="inlineStr">
        <is>
          <t>in_progress</t>
        </is>
      </c>
      <c r="H10" s="7" t="n">
        <v>39</v>
      </c>
      <c r="I10" s="4" t="inlineStr"/>
      <c r="J10" s="4" t="inlineStr">
        <is>
          <t>Matthew</t>
        </is>
      </c>
      <c r="K10" s="4" t="inlineStr">
        <is>
          <t>F-004,F-005,F-006,F-007</t>
        </is>
      </c>
      <c r="L10" s="4" t="inlineStr">
        <is>
          <t>P-001,P-003,P-004,P-005,P-010</t>
        </is>
      </c>
      <c r="M10" s="4" t="n">
        <v>40</v>
      </c>
      <c r="N10" s="4" t="n">
        <v>0</v>
      </c>
      <c r="O10" s="4" t="inlineStr">
        <is>
          <t>AUDIT 2026-05-16: 35-field schema exists (exceeds 28+) and Markdown export pipeline is mature, but Forensic *tier* differentiation does NOT exist — single unified synthesis path. Trigger Moment 'Strategic Entry Point' callout (F-008.3) and Draft↔Forensic toggle (F-008.4) both 0%. Rollup dropped from 80→39%: the doc ships, but the criteria asking for tier-specific behaviour are unmet. GEN3 (2026-05-25): canvas auto-populates from Avatar data (partially real-time); no forced step-gating; 'Trigger Moment' renamed The Decision Trigger™ (also captured standalone in F-058) [F 144128256 @27:00,@31:00].</t>
        </is>
      </c>
      <c r="P10" s="8" t="n">
        <v>46167</v>
      </c>
    </row>
    <row r="11" ht="42" customHeight="1">
      <c r="A11" s="4" t="inlineStr">
        <is>
          <t>F-009</t>
        </is>
      </c>
      <c r="B11" s="4" t="inlineStr">
        <is>
          <t>AI Assistance system</t>
        </is>
      </c>
      <c r="C11" s="4" t="inlineStr">
        <is>
          <t>avatar_builder</t>
        </is>
      </c>
      <c r="D11" s="4" t="inlineStr">
        <is>
          <t>Four modes — Think About This, Real-World Examples, Get AI Suggestions, Get AI Auto-Populate — available per field.</t>
        </is>
      </c>
      <c r="E11" s="4" t="inlineStr">
        <is>
          <t>Alpha</t>
        </is>
      </c>
      <c r="F11" s="4" t="inlineStr">
        <is>
          <t>P0</t>
        </is>
      </c>
      <c r="G11" s="4" t="inlineStr">
        <is>
          <t>in_progress</t>
        </is>
      </c>
      <c r="H11" s="7" t="n">
        <v>19</v>
      </c>
      <c r="I11" s="4" t="inlineStr"/>
      <c r="J11" s="4" t="inlineStr">
        <is>
          <t>Matthew</t>
        </is>
      </c>
      <c r="K11" s="4" t="inlineStr">
        <is>
          <t>F-018</t>
        </is>
      </c>
      <c r="L11" s="4" t="inlineStr">
        <is>
          <t>P-001,P-002</t>
        </is>
      </c>
      <c r="M11" s="4" t="n">
        <v>48</v>
      </c>
      <c r="N11" s="4" t="n">
        <v>0</v>
      </c>
      <c r="O11" s="4" t="inlineStr">
        <is>
          <t>AUDIT 2026-05-16: Only ONE AI mode is independently invocable — a single 'Generate with AI' button per field (AIButton.tsx). 'Think About This' and 'Real-World Examples' modes don't exist; 'Auto-Populate' is delivered implicitly via chat extraction + ghost text. No 4-mode selector UI. Rollup dropped from 30→19%. GEN3 (2026-05-25): MVP ships static example text for avatar/Before-State prompts; AI-suggestion path deferred and paid-tier when built [F 144128256 @11:42-12:52].</t>
        </is>
      </c>
      <c r="P11" s="8" t="n">
        <v>46167</v>
      </c>
    </row>
    <row r="12" ht="42" customHeight="1">
      <c r="A12" s="4" t="inlineStr">
        <is>
          <t>F-010</t>
        </is>
      </c>
      <c r="B12" s="4" t="inlineStr">
        <is>
          <t>Progressive disclosure UI</t>
        </is>
      </c>
      <c r="C12" s="4" t="inlineStr">
        <is>
          <t>design_system</t>
        </is>
      </c>
      <c r="D12" s="4" t="inlineStr">
        <is>
          <t>Avatar Builder fields reveal progressively to avoid form fatigue; mobile-first.</t>
        </is>
      </c>
      <c r="E12" s="4" t="inlineStr">
        <is>
          <t>Alpha</t>
        </is>
      </c>
      <c r="F12" s="4" t="inlineStr">
        <is>
          <t>P0</t>
        </is>
      </c>
      <c r="G12" s="4" t="inlineStr">
        <is>
          <t>not_started</t>
        </is>
      </c>
      <c r="H12" s="7" t="n">
        <v>2</v>
      </c>
      <c r="I12" s="4" t="inlineStr"/>
      <c r="J12" s="4" t="inlineStr">
        <is>
          <t>Matthew</t>
        </is>
      </c>
      <c r="K12" s="4" t="inlineStr"/>
      <c r="L12" s="4" t="inlineStr"/>
      <c r="M12" s="4" t="n">
        <v>24</v>
      </c>
      <c r="N12" s="4" t="n">
        <v>0</v>
      </c>
      <c r="O12" s="4" t="inlineStr">
        <is>
          <t>AUDIT 2026-05-16: shadcn Accordion used informally for chapter disclosure; no documented disclosure pattern, no mobile-first audit committed. Rollup dropped from 25→3%.</t>
        </is>
      </c>
      <c r="P12" s="8" t="n">
        <v>46167</v>
      </c>
    </row>
    <row r="13" ht="42" customHeight="1">
      <c r="A13" s="4" t="inlineStr">
        <is>
          <t>F-011</t>
        </is>
      </c>
      <c r="B13" s="4" t="inlineStr">
        <is>
          <t>Manual edit lock</t>
        </is>
      </c>
      <c r="C13" s="4" t="inlineStr">
        <is>
          <t>avatar_builder</t>
        </is>
      </c>
      <c r="D13" s="4" t="inlineStr">
        <is>
          <t>Fields manually edited by the user are flagged and never silently overwritten by AI suggestions.</t>
        </is>
      </c>
      <c r="E13" s="4" t="inlineStr">
        <is>
          <t>Alpha</t>
        </is>
      </c>
      <c r="F13" s="4" t="inlineStr">
        <is>
          <t>P0</t>
        </is>
      </c>
      <c r="G13" s="4" t="inlineStr">
        <is>
          <t>in_progress</t>
        </is>
      </c>
      <c r="H13" s="7" t="n">
        <v>57</v>
      </c>
      <c r="I13" s="4" t="inlineStr"/>
      <c r="J13" s="4" t="inlineStr">
        <is>
          <t>Matthew</t>
        </is>
      </c>
      <c r="K13" s="4" t="inlineStr"/>
      <c r="L13" s="4" t="inlineStr"/>
      <c r="M13" s="4" t="n">
        <v>12</v>
      </c>
      <c r="N13" s="4" t="n">
        <v>0</v>
      </c>
      <c r="O13" s="4" t="inlineStr">
        <is>
          <t>AUDIT 2026-05-16: field_source ('ai'|'manual') exists and survives reload BUT is not the same as a 'manuallyEdited' boolean — system pairs it with separate is_locked user-toggle. AI overwrite guard works only for *explicitly locked* fields (F-011.2 65%), not for manually edited unlocked ones. F-011.1 reduced from 100→70% in_review.</t>
        </is>
      </c>
      <c r="P13" s="8" t="n">
        <v>46167</v>
      </c>
    </row>
    <row r="14" ht="42" customHeight="1">
      <c r="A14" s="4" t="inlineStr">
        <is>
          <t>F-012</t>
        </is>
      </c>
      <c r="B14" s="4" t="inlineStr">
        <is>
          <t>Field extraction pipeline with confidence scoring</t>
        </is>
      </c>
      <c r="C14" s="4" t="inlineStr">
        <is>
          <t>infrastructure</t>
        </is>
      </c>
      <c r="D14" s="4" t="inlineStr">
        <is>
          <t>Conversation inputs → structured field extraction with per-field confidence score. Drives the quality badges.</t>
        </is>
      </c>
      <c r="E14" s="4" t="inlineStr">
        <is>
          <t>Alpha</t>
        </is>
      </c>
      <c r="F14" s="4" t="inlineStr">
        <is>
          <t>P0</t>
        </is>
      </c>
      <c r="G14" s="4" t="inlineStr">
        <is>
          <t>in_progress</t>
        </is>
      </c>
      <c r="H14" s="7" t="n">
        <v>45</v>
      </c>
      <c r="I14" s="4" t="inlineStr"/>
      <c r="J14" s="4" t="inlineStr">
        <is>
          <t>Matthew</t>
        </is>
      </c>
      <c r="K14" s="4" t="inlineStr"/>
      <c r="L14" s="4" t="inlineStr">
        <is>
          <t>P-001</t>
        </is>
      </c>
      <c r="M14" s="4" t="n">
        <v>32</v>
      </c>
      <c r="N14" s="4" t="n">
        <v>0</v>
      </c>
      <c r="O14" s="4" t="inlineStr">
        <is>
          <t>AUDIT 2026-05-16: Edge function returns confidence scores (F-012.1 85%), but no confidence→badge mapping is implemented (F-012.2 was 100% wrongly — now 50%). Two unrelated badge systems coexist (heuristic on sidebar, percentage on chat).</t>
        </is>
      </c>
      <c r="P14" s="8" t="n">
        <v>46167</v>
      </c>
    </row>
    <row r="15" ht="42" customHeight="1">
      <c r="A15" s="4" t="inlineStr">
        <is>
          <t>F-013</t>
        </is>
      </c>
      <c r="B15" s="4" t="inlineStr">
        <is>
          <t>Feedback Moment 1 — Entry signal modal</t>
        </is>
      </c>
      <c r="C15" s="4" t="inlineStr">
        <is>
          <t>feedback_loop</t>
        </is>
      </c>
      <c r="D15" s="4" t="inlineStr">
        <is>
          <t>Modal after Draft Canvas asks whether the conversation revealed new territory; routes to feedback sheet.</t>
        </is>
      </c>
      <c r="E15" s="4" t="inlineStr">
        <is>
          <t>Alpha</t>
        </is>
      </c>
      <c r="F15" s="4" t="inlineStr">
        <is>
          <t>P0</t>
        </is>
      </c>
      <c r="G15" s="4" t="inlineStr">
        <is>
          <t>not_started</t>
        </is>
      </c>
      <c r="H15" s="7" t="n">
        <v>0</v>
      </c>
      <c r="I15" s="4" t="inlineStr"/>
      <c r="J15" s="4" t="inlineStr">
        <is>
          <t>Matthew</t>
        </is>
      </c>
      <c r="K15" s="4" t="inlineStr">
        <is>
          <t>F-003,F-017</t>
        </is>
      </c>
      <c r="L15" s="4" t="inlineStr"/>
      <c r="M15" s="4" t="n">
        <v>12</v>
      </c>
      <c r="N15" s="4" t="n">
        <v>0</v>
      </c>
      <c r="O15" s="4" t="inlineStr">
        <is>
          <t>AUDIT 2026-05-16: Nothing exists. BrandCanvas page has no first-view detection, no modal, no 'entry signal' question copy, no moment-tagged write path. Greenfield build needed.</t>
        </is>
      </c>
      <c r="P15" s="8" t="n">
        <v>46167</v>
      </c>
    </row>
    <row r="16" ht="42" customHeight="1">
      <c r="A16" s="4" t="inlineStr">
        <is>
          <t>F-014</t>
        </is>
      </c>
      <c r="B16" s="4" t="inlineStr">
        <is>
          <t>Feedback Moment 2 — Use intent inline panel</t>
        </is>
      </c>
      <c r="C16" s="4" t="inlineStr">
        <is>
          <t>feedback_loop</t>
        </is>
      </c>
      <c r="D16" s="4" t="inlineStr">
        <is>
          <t>Inline panel after Forensic Canvas asks what the user intends to do with it (and surfaces asset-update demand signal).</t>
        </is>
      </c>
      <c r="E16" s="4" t="inlineStr">
        <is>
          <t>Alpha</t>
        </is>
      </c>
      <c r="F16" s="4" t="inlineStr">
        <is>
          <t>P0</t>
        </is>
      </c>
      <c r="G16" s="4" t="inlineStr">
        <is>
          <t>not_started</t>
        </is>
      </c>
      <c r="H16" s="7" t="n">
        <v>0</v>
      </c>
      <c r="I16" s="4" t="inlineStr"/>
      <c r="J16" s="4" t="inlineStr">
        <is>
          <t>Matthew</t>
        </is>
      </c>
      <c r="K16" s="4" t="inlineStr">
        <is>
          <t>F-008,F-017</t>
        </is>
      </c>
      <c r="L16" s="4" t="inlineStr"/>
      <c r="M16" s="4" t="n">
        <v>12</v>
      </c>
      <c r="N16" s="4" t="n">
        <v>0</v>
      </c>
      <c r="O16" s="4" t="inlineStr">
        <is>
          <t>AUDIT 2026-05-16: Nothing exists. No inline panel, no 'use intent' multi-select, no 'update existing assets' option (which drives the asset-tracking gate), no moment-2 write path. Greenfield build needed.</t>
        </is>
      </c>
      <c r="P16" s="8" t="n">
        <v>46167</v>
      </c>
    </row>
    <row r="17" ht="42" customHeight="1">
      <c r="A17" s="4" t="inlineStr">
        <is>
          <t>F-015</t>
        </is>
      </c>
      <c r="B17" s="4" t="inlineStr">
        <is>
          <t>Feedback Moment 3 — 14-day async email</t>
        </is>
      </c>
      <c r="C17" s="4" t="inlineStr">
        <is>
          <t>feedback_loop</t>
        </is>
      </c>
      <c r="D17" s="4" t="inlineStr">
        <is>
          <t>Day-14 email asks what the user has actually done with the canvas and what's missing.</t>
        </is>
      </c>
      <c r="E17" s="4" t="inlineStr">
        <is>
          <t>Alpha</t>
        </is>
      </c>
      <c r="F17" s="4" t="inlineStr">
        <is>
          <t>P0</t>
        </is>
      </c>
      <c r="G17" s="4" t="inlineStr">
        <is>
          <t>not_started</t>
        </is>
      </c>
      <c r="H17" s="7" t="n">
        <v>0</v>
      </c>
      <c r="I17" s="4" t="inlineStr"/>
      <c r="J17" s="4" t="inlineStr">
        <is>
          <t>Matthew</t>
        </is>
      </c>
      <c r="K17" s="4" t="inlineStr">
        <is>
          <t>F-017</t>
        </is>
      </c>
      <c r="L17" s="4" t="inlineStr"/>
      <c r="M17" s="4" t="n">
        <v>8</v>
      </c>
      <c r="N17" s="4" t="n">
        <v>0</v>
      </c>
      <c r="O17" s="4" t="inlineStr">
        <is>
          <t>AUDIT 2026-05-16: Nothing exists. No scheduled-send infrastructure (pg_cron not enabled, no day-offset queue), no 14-day email template, no inbound reply parsing. Resend exists only for synchronous send-framework-email (different feature). Greenfield build needed.</t>
        </is>
      </c>
      <c r="P17" s="8" t="n">
        <v>46167</v>
      </c>
    </row>
    <row r="18" ht="42" customHeight="1">
      <c r="A18" s="4" t="inlineStr">
        <is>
          <t>F-016</t>
        </is>
      </c>
      <c r="B18" s="4" t="inlineStr">
        <is>
          <t>Feedback response sheet integration</t>
        </is>
      </c>
      <c r="C18" s="4" t="inlineStr">
        <is>
          <t>infrastructure</t>
        </is>
      </c>
      <c r="D18" s="4" t="inlineStr">
        <is>
          <t>All three feedback moments write to a single sheet (Google Sheets or Supabase view) Matthew can monitor daily.</t>
        </is>
      </c>
      <c r="E18" s="4" t="inlineStr">
        <is>
          <t>Alpha</t>
        </is>
      </c>
      <c r="F18" s="4" t="inlineStr">
        <is>
          <t>P0</t>
        </is>
      </c>
      <c r="G18" s="4" t="inlineStr">
        <is>
          <t>not_started</t>
        </is>
      </c>
      <c r="H18" s="7" t="n">
        <v>0</v>
      </c>
      <c r="I18" s="4" t="inlineStr"/>
      <c r="J18" s="4" t="inlineStr">
        <is>
          <t>Matthew</t>
        </is>
      </c>
      <c r="K18" s="4" t="inlineStr"/>
      <c r="L18" s="4" t="inlineStr"/>
      <c r="M18" s="4" t="n">
        <v>8</v>
      </c>
      <c r="N18" s="4" t="n">
        <v>0</v>
      </c>
      <c r="O18" s="4" t="inlineStr">
        <is>
          <t>AUDIT 2026-05-16: Existing beta_feedback table is wide-form (overall_rating/liked_most/improvements/issues) — wrong shape for moment-tagged events. Need new feedback_events table with (moment, user_id, timestamp, payload JSONB). Existing BetaFeedback infrastructure will NOT compose — treat as separate older system; build moment infra fresh.</t>
        </is>
      </c>
      <c r="P18" s="8" t="n">
        <v>46167</v>
      </c>
    </row>
    <row r="19" ht="42" customHeight="1">
      <c r="A19" s="4" t="inlineStr">
        <is>
          <t>F-017</t>
        </is>
      </c>
      <c r="B19" s="4" t="inlineStr">
        <is>
          <t>Error monitoring</t>
        </is>
      </c>
      <c r="C19" s="4" t="inlineStr">
        <is>
          <t>infrastructure</t>
        </is>
      </c>
      <c r="D19" s="4" t="inlineStr">
        <is>
          <t>Sentry (or equivalent) capturing client + edge function errors. Daily review during alpha.</t>
        </is>
      </c>
      <c r="E19" s="4" t="inlineStr">
        <is>
          <t>Alpha</t>
        </is>
      </c>
      <c r="F19" s="4" t="inlineStr">
        <is>
          <t>P0</t>
        </is>
      </c>
      <c r="G19" s="4" t="inlineStr">
        <is>
          <t>not_started</t>
        </is>
      </c>
      <c r="H19" s="7" t="n">
        <v>0</v>
      </c>
      <c r="I19" s="4" t="inlineStr"/>
      <c r="J19" s="4" t="inlineStr">
        <is>
          <t>Matthew</t>
        </is>
      </c>
      <c r="K19" s="4" t="inlineStr"/>
      <c r="L19" s="4" t="inlineStr"/>
      <c r="M19" s="4" t="n">
        <v>6</v>
      </c>
      <c r="N19" s="4" t="n">
        <v>0</v>
      </c>
      <c r="O19" s="4" t="inlineStr">
        <is>
          <t>AUDIT 2026-05-16: Nothing exists. No Sentry/Rollbar/Bugsnag/LogRocket/Datadog in package.json. ErrorBoundary.tsx only console.errors with a commented placeholder. No source-map upload, no CI workflows directory. Greenfield install.</t>
        </is>
      </c>
      <c r="P19" s="8" t="n">
        <v>46167</v>
      </c>
    </row>
    <row r="20" ht="42" customHeight="1">
      <c r="A20" s="4" t="inlineStr">
        <is>
          <t>F-018</t>
        </is>
      </c>
      <c r="B20" s="4" t="inlineStr">
        <is>
          <t>Tester onboarding flow</t>
        </is>
      </c>
      <c r="C20" s="4" t="inlineStr">
        <is>
          <t>accounts</t>
        </is>
      </c>
      <c r="D20" s="4" t="inlineStr">
        <is>
          <t>One-page Loom + in-app welcome that frames alpha state and the three feedback moments.</t>
        </is>
      </c>
      <c r="E20" s="4" t="inlineStr">
        <is>
          <t>Alpha</t>
        </is>
      </c>
      <c r="F20" s="4" t="inlineStr">
        <is>
          <t>P0</t>
        </is>
      </c>
      <c r="G20" s="4" t="inlineStr">
        <is>
          <t>in_progress</t>
        </is>
      </c>
      <c r="H20" s="7" t="n">
        <v>13</v>
      </c>
      <c r="I20" s="4" t="inlineStr"/>
      <c r="J20" s="4" t="inlineStr">
        <is>
          <t>Matthew</t>
        </is>
      </c>
      <c r="K20" s="4" t="inlineStr"/>
      <c r="L20" s="4" t="inlineStr"/>
      <c r="M20" s="4" t="n">
        <v>8</v>
      </c>
      <c r="N20" s="4" t="n">
        <v>0</v>
      </c>
      <c r="O20" s="4" t="inlineStr">
        <is>
          <t>AUDIT 2026-05-16: BetaWelcome page exists at /beta but is a self-serve registration form gated by localStorage — not auto-shown on first login, doesn't name Trevor or framework, not dismissable. StartHere has a Vimeo intro (not Loom). No invitation template, no 'first 10'/'7-day'/'30-min debrief' language. Resend not configured for invitations.</t>
        </is>
      </c>
      <c r="P20" s="8" t="n">
        <v>46167</v>
      </c>
    </row>
    <row r="21" ht="42" customHeight="1">
      <c r="A21" s="4" t="inlineStr">
        <is>
          <t>F-019</t>
        </is>
      </c>
      <c r="B21" s="4" t="inlineStr">
        <is>
          <t>Pay gate (freemium)</t>
        </is>
      </c>
      <c r="C21" s="4" t="inlineStr">
        <is>
          <t>pay_gate</t>
        </is>
      </c>
      <c r="D21" s="4" t="inlineStr">
        <is>
          <t>Freemium model. Free = core tools + The Signature + limited AI; paid (£29/mo; one-off £67 notional/TBD) unlocks AI-heavy features (Review Lab analysis, unlimited prompts/iterations). Stripe + post-payment action menu.</t>
        </is>
      </c>
      <c r="E21" s="4" t="inlineStr">
        <is>
          <t>Beta</t>
        </is>
      </c>
      <c r="F21" s="4" t="inlineStr">
        <is>
          <t>P0</t>
        </is>
      </c>
      <c r="G21" s="4" t="inlineStr">
        <is>
          <t>not_started</t>
        </is>
      </c>
      <c r="H21" s="7" t="n">
        <v>0</v>
      </c>
      <c r="I21" s="4" t="inlineStr"/>
      <c r="J21" s="4" t="inlineStr">
        <is>
          <t>Matthew</t>
        </is>
      </c>
      <c r="K21" s="4" t="inlineStr">
        <is>
          <t>F-008</t>
        </is>
      </c>
      <c r="L21" s="4" t="inlineStr">
        <is>
          <t>P-012</t>
        </is>
      </c>
      <c r="M21" s="4" t="n">
        <v>40</v>
      </c>
      <c r="N21" s="4" t="n">
        <v>0</v>
      </c>
      <c r="O21" s="4" t="inlineStr">
        <is>
          <t>Central conversion test of beta. Pay-gate previews must use real canvas data. GEN3 (2026-05-25): reframed from two pricing tiers to freemium; canvas fields locked-but-visible for non-subscribers (F-064) [F 144128256 @32:26-34:29].</t>
        </is>
      </c>
      <c r="P21" s="8" t="n">
        <v>46167</v>
      </c>
    </row>
    <row r="22" ht="42" customHeight="1">
      <c r="A22" s="4" t="inlineStr">
        <is>
          <t>F-020</t>
        </is>
      </c>
      <c r="B22" s="4" t="inlineStr">
        <is>
          <t>Create mode — Amazon listing copy</t>
        </is>
      </c>
      <c r="C22" s="4" t="inlineStr">
        <is>
          <t>create_mode</t>
        </is>
      </c>
      <c r="D22" s="4" t="inlineStr">
        <is>
          <t>Generate Amazon listing copy from Forensic Canvas using Trevor-voice prompts.</t>
        </is>
      </c>
      <c r="E22" s="4" t="inlineStr">
        <is>
          <t>Beta</t>
        </is>
      </c>
      <c r="F22" s="4" t="inlineStr">
        <is>
          <t>P0</t>
        </is>
      </c>
      <c r="G22" s="4" t="inlineStr">
        <is>
          <t>not_started</t>
        </is>
      </c>
      <c r="H22" s="7" t="n">
        <v>0</v>
      </c>
      <c r="I22" s="4" t="inlineStr"/>
      <c r="J22" s="4" t="inlineStr">
        <is>
          <t>Matthew</t>
        </is>
      </c>
      <c r="K22" s="4" t="inlineStr">
        <is>
          <t>F-008,F-019</t>
        </is>
      </c>
      <c r="L22" s="4" t="inlineStr">
        <is>
          <t>P-004,P-005</t>
        </is>
      </c>
      <c r="M22" s="4" t="n">
        <v>32</v>
      </c>
      <c r="N22" s="4" t="n">
        <v>0</v>
      </c>
      <c r="O22" s="4" t="inlineStr">
        <is>
          <t>First Create-mode output. Anchors the pay-gate preview.</t>
        </is>
      </c>
      <c r="P22" s="8" t="n">
        <v>46167</v>
      </c>
    </row>
    <row r="23" ht="42" customHeight="1">
      <c r="A23" s="4" t="inlineStr">
        <is>
          <t>F-021</t>
        </is>
      </c>
      <c r="B23" s="4" t="inlineStr">
        <is>
          <t>Create mode — Brand Voice Guide</t>
        </is>
      </c>
      <c r="C23" s="4" t="inlineStr">
        <is>
          <t>create_mode</t>
        </is>
      </c>
      <c r="D23" s="4" t="inlineStr">
        <is>
          <t>Generate Brand Voice Guide document from Forensic Canvas.</t>
        </is>
      </c>
      <c r="E23" s="4" t="inlineStr">
        <is>
          <t>Beta</t>
        </is>
      </c>
      <c r="F23" s="4" t="inlineStr">
        <is>
          <t>P0</t>
        </is>
      </c>
      <c r="G23" s="4" t="inlineStr">
        <is>
          <t>not_started</t>
        </is>
      </c>
      <c r="H23" s="7" t="n">
        <v>0</v>
      </c>
      <c r="I23" s="4" t="inlineStr"/>
      <c r="J23" s="4" t="inlineStr">
        <is>
          <t>Matthew</t>
        </is>
      </c>
      <c r="K23" s="4" t="inlineStr">
        <is>
          <t>F-008,F-019</t>
        </is>
      </c>
      <c r="L23" s="4" t="inlineStr">
        <is>
          <t>P-004,P-005</t>
        </is>
      </c>
      <c r="M23" s="4" t="n">
        <v>24</v>
      </c>
      <c r="N23" s="4" t="n">
        <v>0</v>
      </c>
      <c r="O23" s="4" t="inlineStr"/>
      <c r="P23" s="8" t="n">
        <v>46167</v>
      </c>
    </row>
    <row r="24" ht="42" customHeight="1">
      <c r="A24" s="4" t="inlineStr">
        <is>
          <t>F-022</t>
        </is>
      </c>
      <c r="B24" s="4" t="inlineStr">
        <is>
          <t>Coach mode v1</t>
        </is>
      </c>
      <c r="C24" s="4" t="inlineStr">
        <is>
          <t>coach_mode</t>
        </is>
      </c>
      <c r="D24" s="4" t="inlineStr">
        <is>
          <t>Open conversation with full canvas context and document upload support.</t>
        </is>
      </c>
      <c r="E24" s="4" t="inlineStr">
        <is>
          <t>Beta</t>
        </is>
      </c>
      <c r="F24" s="4" t="inlineStr">
        <is>
          <t>P0</t>
        </is>
      </c>
      <c r="G24" s="4" t="inlineStr">
        <is>
          <t>not_started</t>
        </is>
      </c>
      <c r="H24" s="7" t="n">
        <v>0</v>
      </c>
      <c r="I24" s="4" t="inlineStr"/>
      <c r="J24" s="4" t="inlineStr">
        <is>
          <t>Matthew</t>
        </is>
      </c>
      <c r="K24" s="4" t="inlineStr">
        <is>
          <t>F-008</t>
        </is>
      </c>
      <c r="L24" s="4" t="inlineStr">
        <is>
          <t>P-001,P-007,P-010</t>
        </is>
      </c>
      <c r="M24" s="4" t="n">
        <v>56</v>
      </c>
      <c r="N24" s="4" t="n">
        <v>0</v>
      </c>
      <c r="O24" s="4" t="inlineStr">
        <is>
          <t>Required to deliver the £29/mo subscription value prop per Trevor's spec. GEN3 (2026-05-25): Coach auto-briefed on Diagnostic + Avatar data — no manual re-paste (fixes Gen-1 CX) [F 144128256 @34:29].</t>
        </is>
      </c>
      <c r="P24" s="8" t="n">
        <v>46167</v>
      </c>
    </row>
    <row r="25" ht="42" customHeight="1">
      <c r="A25" s="4" t="inlineStr">
        <is>
          <t>F-023</t>
        </is>
      </c>
      <c r="B25" s="4" t="inlineStr">
        <is>
          <t>Export — PDF and Word</t>
        </is>
      </c>
      <c r="C25" s="4" t="inlineStr">
        <is>
          <t>export</t>
        </is>
      </c>
      <c r="D25" s="4" t="inlineStr">
        <is>
          <t>PDF and Word exports of both Draft and Forensic canvases.</t>
        </is>
      </c>
      <c r="E25" s="4" t="inlineStr">
        <is>
          <t>Beta</t>
        </is>
      </c>
      <c r="F25" s="4" t="inlineStr">
        <is>
          <t>P0</t>
        </is>
      </c>
      <c r="G25" s="4" t="inlineStr">
        <is>
          <t>in_progress</t>
        </is>
      </c>
      <c r="H25" s="7" t="n">
        <v>65</v>
      </c>
      <c r="I25" s="4" t="inlineStr"/>
      <c r="J25" s="4" t="inlineStr">
        <is>
          <t>Matthew</t>
        </is>
      </c>
      <c r="K25" s="4" t="inlineStr">
        <is>
          <t>F-003,F-008</t>
        </is>
      </c>
      <c r="L25" s="4" t="inlineStr">
        <is>
          <t>P-003</t>
        </is>
      </c>
      <c r="M25" s="4" t="n">
        <v>24</v>
      </c>
      <c r="N25" s="4" t="n">
        <v>0</v>
      </c>
      <c r="O25" s="4" t="inlineStr">
        <is>
          <t>PDF + Markdown shipped: BrandCanvasPDFExport, MarkdownPDFExporter, BrandMarkdownExport, generate-brand-strategy-pdf edge function. Word (.docx) export is the remaining gap. Once Draft/Forensic tier split lands in F-003/F-008, ensure both tiers export.</t>
        </is>
      </c>
      <c r="P25" s="8" t="n">
        <v>46167</v>
      </c>
    </row>
    <row r="26" ht="42" customHeight="1">
      <c r="A26" s="4" t="inlineStr">
        <is>
          <t>F-024</t>
        </is>
      </c>
      <c r="B26" s="4" t="inlineStr">
        <is>
          <t>Analytics + funnel tracking</t>
        </is>
      </c>
      <c r="C26" s="4" t="inlineStr">
        <is>
          <t>analytics</t>
        </is>
      </c>
      <c r="D26" s="4" t="inlineStr">
        <is>
          <t>PostHog or Mixpanel events on every funnel step; cohort analysis enabled.</t>
        </is>
      </c>
      <c r="E26" s="4" t="inlineStr">
        <is>
          <t>Beta</t>
        </is>
      </c>
      <c r="F26" s="4" t="inlineStr">
        <is>
          <t>P0</t>
        </is>
      </c>
      <c r="G26" s="4" t="inlineStr">
        <is>
          <t>not_started</t>
        </is>
      </c>
      <c r="H26" s="7" t="n">
        <v>0</v>
      </c>
      <c r="I26" s="4" t="inlineStr"/>
      <c r="J26" s="4" t="inlineStr">
        <is>
          <t>Matthew</t>
        </is>
      </c>
      <c r="K26" s="4" t="inlineStr"/>
      <c r="L26" s="4" t="inlineStr"/>
      <c r="M26" s="4" t="n">
        <v>16</v>
      </c>
      <c r="N26" s="4" t="n">
        <v>0</v>
      </c>
      <c r="O26" s="4" t="inlineStr">
        <is>
          <t>Conversion data is the whole point of beta.</t>
        </is>
      </c>
      <c r="P26" s="8" t="n">
        <v>46167</v>
      </c>
    </row>
    <row r="27" ht="42" customHeight="1">
      <c r="A27" s="4" t="inlineStr">
        <is>
          <t>F-025</t>
        </is>
      </c>
      <c r="B27" s="4" t="inlineStr">
        <is>
          <t>Support workflow</t>
        </is>
      </c>
      <c r="C27" s="4" t="inlineStr">
        <is>
          <t>infrastructure</t>
        </is>
      </c>
      <c r="D27" s="4" t="inlineStr">
        <is>
          <t>Intercom (or email) inbox with documented SLA; paying users get answers.</t>
        </is>
      </c>
      <c r="E27" s="4" t="inlineStr">
        <is>
          <t>Beta</t>
        </is>
      </c>
      <c r="F27" s="4" t="inlineStr">
        <is>
          <t>P0</t>
        </is>
      </c>
      <c r="G27" s="4" t="inlineStr">
        <is>
          <t>not_started</t>
        </is>
      </c>
      <c r="H27" s="7" t="n">
        <v>0</v>
      </c>
      <c r="I27" s="4" t="inlineStr"/>
      <c r="J27" s="4" t="inlineStr">
        <is>
          <t>Matthew</t>
        </is>
      </c>
      <c r="K27" s="4" t="inlineStr"/>
      <c r="L27" s="4" t="inlineStr"/>
      <c r="M27" s="4" t="n">
        <v>8</v>
      </c>
      <c r="N27" s="4" t="n">
        <v>0</v>
      </c>
      <c r="O27" s="4" t="inlineStr">
        <is>
          <t>Refund-rate risk is partly a support-responsiveness problem.</t>
        </is>
      </c>
      <c r="P27" s="8" t="n">
        <v>46167</v>
      </c>
    </row>
    <row r="28" ht="42" customHeight="1">
      <c r="A28" s="4" t="inlineStr">
        <is>
          <t>F-026</t>
        </is>
      </c>
      <c r="B28" s="4" t="inlineStr">
        <is>
          <t>ROI testimonial harvest email sequence</t>
        </is>
      </c>
      <c r="C28" s="4" t="inlineStr">
        <is>
          <t>feedback_loop</t>
        </is>
      </c>
      <c r="D28" s="4" t="inlineStr">
        <is>
          <t>Day-0, day-14, day-30, day-60 emails plus debrief invite when results report positive.</t>
        </is>
      </c>
      <c r="E28" s="4" t="inlineStr">
        <is>
          <t>Beta</t>
        </is>
      </c>
      <c r="F28" s="4" t="inlineStr">
        <is>
          <t>P0</t>
        </is>
      </c>
      <c r="G28" s="4" t="inlineStr">
        <is>
          <t>not_started</t>
        </is>
      </c>
      <c r="H28" s="7" t="n">
        <v>0</v>
      </c>
      <c r="I28" s="4" t="inlineStr"/>
      <c r="J28" s="4" t="inlineStr">
        <is>
          <t>Matthew</t>
        </is>
      </c>
      <c r="K28" s="4" t="inlineStr">
        <is>
          <t>F-015</t>
        </is>
      </c>
      <c r="L28" s="4" t="inlineStr"/>
      <c r="M28" s="4" t="n">
        <v>12</v>
      </c>
      <c r="N28" s="4" t="n">
        <v>0</v>
      </c>
      <c r="O28" s="4" t="inlineStr">
        <is>
          <t>Target: 5+ verified testimonials by end of Beta; 10+ within 3 months.</t>
        </is>
      </c>
      <c r="P28" s="8" t="n">
        <v>46167</v>
      </c>
    </row>
    <row r="29" ht="42" customHeight="1">
      <c r="A29" s="4" t="inlineStr">
        <is>
          <t>F-027</t>
        </is>
      </c>
      <c r="B29" s="4" t="inlineStr">
        <is>
          <t>Brand Diagnostic integration</t>
        </is>
      </c>
      <c r="C29" s="4" t="inlineStr">
        <is>
          <t>conversation</t>
        </is>
      </c>
      <c r="D29" s="4" t="inlineStr">
        <is>
          <t>Diagnostic CTA dynamic (Brand Coach vs strategist) + score handoff into Layer 1 + visual identity refresh.</t>
        </is>
      </c>
      <c r="E29" s="4" t="inlineStr">
        <is>
          <t>Beta</t>
        </is>
      </c>
      <c r="F29" s="4" t="inlineStr">
        <is>
          <t>P0</t>
        </is>
      </c>
      <c r="G29" s="4" t="inlineStr">
        <is>
          <t>in_progress</t>
        </is>
      </c>
      <c r="H29" s="7" t="n">
        <v>70</v>
      </c>
      <c r="I29" s="4" t="inlineStr"/>
      <c r="J29" s="4" t="inlineStr">
        <is>
          <t>Matthew</t>
        </is>
      </c>
      <c r="K29" s="4" t="inlineStr"/>
      <c r="L29" s="4" t="inlineStr">
        <is>
          <t>P-011</t>
        </is>
      </c>
      <c r="M29" s="4" t="n">
        <v>20</v>
      </c>
      <c r="N29" s="4" t="n">
        <v>0</v>
      </c>
      <c r="O29" s="4" t="inlineStr">
        <is>
          <t>Diagnostic largely exists (FreeDiagnostic + BetaFeedback components). Handoff into Layer 1 still loose. GEN3 (2026-05-25): feeds the Trust Gap™ Score (F-057); beta signup capture writes to the same DB [F 140678453 @16:26].</t>
        </is>
      </c>
      <c r="P29" s="8" t="n">
        <v>46167</v>
      </c>
    </row>
    <row r="30" ht="42" customHeight="1">
      <c r="A30" s="4" t="inlineStr">
        <is>
          <t>F-028</t>
        </is>
      </c>
      <c r="B30" s="4" t="inlineStr">
        <is>
          <t>Asset Inventory v1</t>
        </is>
      </c>
      <c r="C30" s="4" t="inlineStr">
        <is>
          <t>asset_tracking</t>
        </is>
      </c>
      <c r="D30" s="4" t="inlineStr">
        <is>
          <t>User can add assets, tag type (listing/email/social/ad/landing/product/other), mark alignment status manually.</t>
        </is>
      </c>
      <c r="E30" s="4" t="inlineStr">
        <is>
          <t>Beta</t>
        </is>
      </c>
      <c r="F30" s="4" t="inlineStr">
        <is>
          <t>P1</t>
        </is>
      </c>
      <c r="G30" s="4" t="inlineStr">
        <is>
          <t>not_started</t>
        </is>
      </c>
      <c r="H30" s="7" t="n">
        <v>0</v>
      </c>
      <c r="I30" s="4" t="inlineStr">
        <is>
          <t>Conditional on Alpha decision gate</t>
        </is>
      </c>
      <c r="J30" s="4" t="inlineStr">
        <is>
          <t>Matthew</t>
        </is>
      </c>
      <c r="K30" s="4" t="inlineStr">
        <is>
          <t>F-014</t>
        </is>
      </c>
      <c r="L30" s="4" t="inlineStr">
        <is>
          <t>P-009</t>
        </is>
      </c>
      <c r="M30" s="4" t="n">
        <v>40</v>
      </c>
      <c r="N30" s="4" t="n">
        <v>0</v>
      </c>
      <c r="O30" s="4" t="inlineStr">
        <is>
          <t>DEFERRED DECISION. Gate at end of Alpha. Default is NO. Trevor's Gen 3 spec does not include asset tracking — only ship if Moment 2 signal is ≥40%.</t>
        </is>
      </c>
      <c r="P30" s="8" t="n">
        <v>46167</v>
      </c>
    </row>
    <row r="31" ht="42" customHeight="1">
      <c r="A31" s="4" t="inlineStr">
        <is>
          <t>F-029</t>
        </is>
      </c>
      <c r="B31" s="4" t="inlineStr">
        <is>
          <t>Asset Inventory v1.5 — Canvas linkage</t>
        </is>
      </c>
      <c r="C31" s="4" t="inlineStr">
        <is>
          <t>asset_tracking</t>
        </is>
      </c>
      <c r="D31" s="4" t="inlineStr">
        <is>
          <t>Mark asset as aligned to a specific canvas version; later canvas updates flag asset as stale.</t>
        </is>
      </c>
      <c r="E31" s="4" t="inlineStr">
        <is>
          <t>Beta</t>
        </is>
      </c>
      <c r="F31" s="4" t="inlineStr">
        <is>
          <t>P1</t>
        </is>
      </c>
      <c r="G31" s="4" t="inlineStr">
        <is>
          <t>not_started</t>
        </is>
      </c>
      <c r="H31" s="7" t="n">
        <v>0</v>
      </c>
      <c r="I31" s="4" t="inlineStr">
        <is>
          <t>Conditional on F-028</t>
        </is>
      </c>
      <c r="J31" s="4" t="inlineStr">
        <is>
          <t>Matthew</t>
        </is>
      </c>
      <c r="K31" s="4" t="inlineStr">
        <is>
          <t>F-028</t>
        </is>
      </c>
      <c r="L31" s="4" t="inlineStr">
        <is>
          <t>P-009</t>
        </is>
      </c>
      <c r="M31" s="4" t="n">
        <v>32</v>
      </c>
      <c r="N31" s="4" t="n">
        <v>0</v>
      </c>
      <c r="O31" s="4" t="inlineStr">
        <is>
          <t>Introduces the temporal signal — user can see what's out of date.</t>
        </is>
      </c>
      <c r="P31" s="8" t="n">
        <v>46167</v>
      </c>
    </row>
    <row r="32" ht="42" customHeight="1">
      <c r="A32" s="4" t="inlineStr">
        <is>
          <t>F-030</t>
        </is>
      </c>
      <c r="B32" s="4" t="inlineStr">
        <is>
          <t>Asset Inventory v2 — Diff surface</t>
        </is>
      </c>
      <c r="C32" s="4" t="inlineStr">
        <is>
          <t>asset_tracking</t>
        </is>
      </c>
      <c r="D32" s="4" t="inlineStr">
        <is>
          <t>When canvas changes, show user a list of likely-affected assets with diff reason (Trigger Moment changed, voice changed, etc.).</t>
        </is>
      </c>
      <c r="E32" s="4" t="inlineStr">
        <is>
          <t>GA</t>
        </is>
      </c>
      <c r="F32" s="4" t="inlineStr">
        <is>
          <t>P1</t>
        </is>
      </c>
      <c r="G32" s="4" t="inlineStr">
        <is>
          <t>not_started</t>
        </is>
      </c>
      <c r="H32" s="7" t="n">
        <v>0</v>
      </c>
      <c r="I32" s="4" t="inlineStr">
        <is>
          <t>Conditional on F-029</t>
        </is>
      </c>
      <c r="J32" s="4" t="inlineStr">
        <is>
          <t>Matthew</t>
        </is>
      </c>
      <c r="K32" s="4" t="inlineStr">
        <is>
          <t>F-029</t>
        </is>
      </c>
      <c r="L32" s="4" t="inlineStr">
        <is>
          <t>P-009</t>
        </is>
      </c>
      <c r="M32" s="4" t="n">
        <v>56</v>
      </c>
      <c r="N32" s="4" t="n">
        <v>0</v>
      </c>
      <c r="O32" s="4" t="inlineStr">
        <is>
          <t>Likely a GA-era feature per brief; listed for completeness.</t>
        </is>
      </c>
      <c r="P32" s="8" t="n">
        <v>46167</v>
      </c>
    </row>
    <row r="33" ht="42" customHeight="1">
      <c r="A33" s="4" t="inlineStr">
        <is>
          <t>F-031</t>
        </is>
      </c>
      <c r="B33" s="4" t="inlineStr">
        <is>
          <t>My Brands dashboard</t>
        </is>
      </c>
      <c r="C33" s="4" t="inlineStr">
        <is>
          <t>accounts</t>
        </is>
      </c>
      <c r="D33" s="4" t="inlineStr">
        <is>
          <t>Multi-brand dashboard with brand switcher; users can manage 2+ brands.</t>
        </is>
      </c>
      <c r="E33" s="4" t="inlineStr">
        <is>
          <t>GA</t>
        </is>
      </c>
      <c r="F33" s="4" t="inlineStr">
        <is>
          <t>P0</t>
        </is>
      </c>
      <c r="G33" s="4" t="inlineStr">
        <is>
          <t>not_started</t>
        </is>
      </c>
      <c r="H33" s="7" t="n">
        <v>0</v>
      </c>
      <c r="I33" s="4" t="inlineStr"/>
      <c r="J33" s="4" t="inlineStr">
        <is>
          <t>Matthew</t>
        </is>
      </c>
      <c r="K33" s="4" t="inlineStr">
        <is>
          <t>F-046</t>
        </is>
      </c>
      <c r="L33" s="4" t="inlineStr">
        <is>
          <t>P-007</t>
        </is>
      </c>
      <c r="M33" s="4" t="n">
        <v>40</v>
      </c>
      <c r="N33" s="4" t="n">
        <v>0</v>
      </c>
      <c r="O33" s="4" t="inlineStr">
        <is>
          <t>Power users will have multiple brands; product caps out at one customer without this.</t>
        </is>
      </c>
      <c r="P33" s="8" t="n">
        <v>46167</v>
      </c>
    </row>
    <row r="34" ht="42" customHeight="1">
      <c r="A34" s="4" t="inlineStr">
        <is>
          <t>F-032</t>
        </is>
      </c>
      <c r="B34" s="4" t="inlineStr">
        <is>
          <t>Anonymous-to-authenticated migration</t>
        </is>
      </c>
      <c r="C34" s="4" t="inlineStr">
        <is>
          <t>accounts</t>
        </is>
      </c>
      <c r="D34" s="4" t="inlineStr">
        <is>
          <t>Diagnostic completers without accounts have their data preserved on signup.</t>
        </is>
      </c>
      <c r="E34" s="4" t="inlineStr">
        <is>
          <t>GA</t>
        </is>
      </c>
      <c r="F34" s="4" t="inlineStr">
        <is>
          <t>P0</t>
        </is>
      </c>
      <c r="G34" s="4" t="inlineStr">
        <is>
          <t>not_started</t>
        </is>
      </c>
      <c r="H34" s="7" t="n">
        <v>0</v>
      </c>
      <c r="I34" s="4" t="inlineStr"/>
      <c r="J34" s="4" t="inlineStr">
        <is>
          <t>Matthew</t>
        </is>
      </c>
      <c r="K34" s="4" t="inlineStr">
        <is>
          <t>F-027</t>
        </is>
      </c>
      <c r="L34" s="4" t="inlineStr"/>
      <c r="M34" s="4" t="n">
        <v>16</v>
      </c>
      <c r="N34" s="4" t="n">
        <v>0</v>
      </c>
      <c r="O34" s="4" t="inlineStr">
        <is>
          <t>Top-of-funnel users drop off without this.</t>
        </is>
      </c>
      <c r="P34" s="8" t="n">
        <v>46167</v>
      </c>
    </row>
    <row r="35" ht="42" customHeight="1">
      <c r="A35" s="4" t="inlineStr">
        <is>
          <t>F-033</t>
        </is>
      </c>
      <c r="B35" s="4" t="inlineStr">
        <is>
          <t>Self-serve onboarding tour</t>
        </is>
      </c>
      <c r="C35" s="4" t="inlineStr">
        <is>
          <t>design_system</t>
        </is>
      </c>
      <c r="D35" s="4" t="inlineStr">
        <is>
          <t>Tooltip-light onboarding tour; no human needed to start.</t>
        </is>
      </c>
      <c r="E35" s="4" t="inlineStr">
        <is>
          <t>GA</t>
        </is>
      </c>
      <c r="F35" s="4" t="inlineStr">
        <is>
          <t>P0</t>
        </is>
      </c>
      <c r="G35" s="4" t="inlineStr">
        <is>
          <t>not_started</t>
        </is>
      </c>
      <c r="H35" s="7" t="n">
        <v>0</v>
      </c>
      <c r="I35" s="4" t="inlineStr"/>
      <c r="J35" s="4" t="inlineStr">
        <is>
          <t>Matthew</t>
        </is>
      </c>
      <c r="K35" s="4" t="inlineStr"/>
      <c r="L35" s="4" t="inlineStr"/>
      <c r="M35" s="4" t="n">
        <v>16</v>
      </c>
      <c r="N35" s="4" t="n">
        <v>0</v>
      </c>
      <c r="O35" s="4" t="inlineStr">
        <is>
          <t>Public launch means support cost scales with users — self-serve protects margin.</t>
        </is>
      </c>
      <c r="P35" s="8" t="n">
        <v>46167</v>
      </c>
    </row>
    <row r="36" ht="42" customHeight="1">
      <c r="A36" s="4" t="inlineStr">
        <is>
          <t>F-034</t>
        </is>
      </c>
      <c r="B36" s="4" t="inlineStr">
        <is>
          <t>Pricing page (cold-traffic optimised)</t>
        </is>
      </c>
      <c r="C36" s="4" t="inlineStr">
        <is>
          <t>pay_gate</t>
        </is>
      </c>
      <c r="D36" s="4" t="inlineStr">
        <is>
          <t>Standalone pricing page that converts cold traffic; A/B tested in late beta.</t>
        </is>
      </c>
      <c r="E36" s="4" t="inlineStr">
        <is>
          <t>GA</t>
        </is>
      </c>
      <c r="F36" s="4" t="inlineStr">
        <is>
          <t>P0</t>
        </is>
      </c>
      <c r="G36" s="4" t="inlineStr">
        <is>
          <t>not_started</t>
        </is>
      </c>
      <c r="H36" s="7" t="n">
        <v>0</v>
      </c>
      <c r="I36" s="4" t="inlineStr"/>
      <c r="J36" s="4" t="inlineStr">
        <is>
          <t>Matthew</t>
        </is>
      </c>
      <c r="K36" s="4" t="inlineStr">
        <is>
          <t>F-019</t>
        </is>
      </c>
      <c r="L36" s="4" t="inlineStr"/>
      <c r="M36" s="4" t="n">
        <v>16</v>
      </c>
      <c r="N36" s="4" t="n">
        <v>0</v>
      </c>
      <c r="O36" s="4" t="inlineStr">
        <is>
          <t>Conversion surface for non-warm visitors.</t>
        </is>
      </c>
      <c r="P36" s="8" t="n">
        <v>46167</v>
      </c>
    </row>
    <row r="37" ht="42" customHeight="1">
      <c r="A37" s="4" t="inlineStr">
        <is>
          <t>F-035</t>
        </is>
      </c>
      <c r="B37" s="4" t="inlineStr">
        <is>
          <t>Status page</t>
        </is>
      </c>
      <c r="C37" s="4" t="inlineStr">
        <is>
          <t>infrastructure</t>
        </is>
      </c>
      <c r="D37" s="4" t="inlineStr">
        <is>
          <t>Public uptime page + incident communication channel.</t>
        </is>
      </c>
      <c r="E37" s="4" t="inlineStr">
        <is>
          <t>GA</t>
        </is>
      </c>
      <c r="F37" s="4" t="inlineStr">
        <is>
          <t>P0</t>
        </is>
      </c>
      <c r="G37" s="4" t="inlineStr">
        <is>
          <t>not_started</t>
        </is>
      </c>
      <c r="H37" s="7" t="n">
        <v>0</v>
      </c>
      <c r="I37" s="4" t="inlineStr"/>
      <c r="J37" s="4" t="inlineStr">
        <is>
          <t>Matthew</t>
        </is>
      </c>
      <c r="K37" s="4" t="inlineStr"/>
      <c r="L37" s="4" t="inlineStr"/>
      <c r="M37" s="4" t="n">
        <v>8</v>
      </c>
      <c r="N37" s="4" t="n">
        <v>0</v>
      </c>
      <c r="O37" s="4" t="inlineStr">
        <is>
          <t>Trust signal required for paid users.</t>
        </is>
      </c>
      <c r="P37" s="8" t="n">
        <v>46167</v>
      </c>
    </row>
    <row r="38" ht="42" customHeight="1">
      <c r="A38" s="4" t="inlineStr">
        <is>
          <t>F-036</t>
        </is>
      </c>
      <c r="B38" s="4" t="inlineStr">
        <is>
          <t>Knowledge base</t>
        </is>
      </c>
      <c r="C38" s="4" t="inlineStr">
        <is>
          <t>infrastructure</t>
        </is>
      </c>
      <c r="D38" s="4" t="inlineStr">
        <is>
          <t>10–20 articles seeded from Beta support tickets covering common questions.</t>
        </is>
      </c>
      <c r="E38" s="4" t="inlineStr">
        <is>
          <t>GA</t>
        </is>
      </c>
      <c r="F38" s="4" t="inlineStr">
        <is>
          <t>P0</t>
        </is>
      </c>
      <c r="G38" s="4" t="inlineStr">
        <is>
          <t>not_started</t>
        </is>
      </c>
      <c r="H38" s="7" t="n">
        <v>0</v>
      </c>
      <c r="I38" s="4" t="inlineStr"/>
      <c r="J38" s="4" t="inlineStr">
        <is>
          <t>Matthew</t>
        </is>
      </c>
      <c r="K38" s="4" t="inlineStr">
        <is>
          <t>F-025</t>
        </is>
      </c>
      <c r="L38" s="4" t="inlineStr"/>
      <c r="M38" s="4" t="n">
        <v>24</v>
      </c>
      <c r="N38" s="4" t="n">
        <v>0</v>
      </c>
      <c r="O38" s="4" t="inlineStr">
        <is>
          <t>Reduces ticket volume and improves time-to-value.</t>
        </is>
      </c>
      <c r="P38" s="8" t="n">
        <v>46167</v>
      </c>
    </row>
    <row r="39" ht="42" customHeight="1">
      <c r="A39" s="4" t="inlineStr">
        <is>
          <t>F-037</t>
        </is>
      </c>
      <c r="B39" s="4" t="inlineStr">
        <is>
          <t>Refund policy + ToS + Privacy Policy</t>
        </is>
      </c>
      <c r="C39" s="4" t="inlineStr">
        <is>
          <t>infrastructure</t>
        </is>
      </c>
      <c r="D39" s="4" t="inlineStr">
        <is>
          <t>Standard SaaS refund (14-day), Terms of Service, Privacy Policy.</t>
        </is>
      </c>
      <c r="E39" s="4" t="inlineStr">
        <is>
          <t>GA</t>
        </is>
      </c>
      <c r="F39" s="4" t="inlineStr">
        <is>
          <t>P0</t>
        </is>
      </c>
      <c r="G39" s="4" t="inlineStr">
        <is>
          <t>not_started</t>
        </is>
      </c>
      <c r="H39" s="7" t="n">
        <v>0</v>
      </c>
      <c r="I39" s="4" t="inlineStr"/>
      <c r="J39" s="4" t="inlineStr">
        <is>
          <t>Matthew</t>
        </is>
      </c>
      <c r="K39" s="4" t="inlineStr"/>
      <c r="L39" s="4" t="inlineStr"/>
      <c r="M39" s="4" t="n">
        <v>8</v>
      </c>
      <c r="N39" s="4" t="n">
        <v>0</v>
      </c>
      <c r="O39" s="4" t="inlineStr">
        <is>
          <t>Legal hygiene required for paid public product.</t>
        </is>
      </c>
      <c r="P39" s="8" t="n">
        <v>46167</v>
      </c>
    </row>
    <row r="40" ht="42" customHeight="1">
      <c r="A40" s="4" t="inlineStr">
        <is>
          <t>F-038</t>
        </is>
      </c>
      <c r="B40" s="4" t="inlineStr">
        <is>
          <t>Performance metrics tracking</t>
        </is>
      </c>
      <c r="C40" s="4" t="inlineStr">
        <is>
          <t>analytics</t>
        </is>
      </c>
      <c r="D40" s="4" t="inlineStr">
        <is>
          <t>Per-avatar manual entry of ROAS, CTR, CPA, conversion rate, custom metrics. Drives ROI testimonials.</t>
        </is>
      </c>
      <c r="E40" s="4" t="inlineStr">
        <is>
          <t>GA</t>
        </is>
      </c>
      <c r="F40" s="4" t="inlineStr">
        <is>
          <t>P0</t>
        </is>
      </c>
      <c r="G40" s="4" t="inlineStr">
        <is>
          <t>not_started</t>
        </is>
      </c>
      <c r="H40" s="7" t="n">
        <v>0</v>
      </c>
      <c r="I40" s="4" t="inlineStr"/>
      <c r="J40" s="4" t="inlineStr">
        <is>
          <t>Matthew</t>
        </is>
      </c>
      <c r="K40" s="4" t="inlineStr">
        <is>
          <t>F-046</t>
        </is>
      </c>
      <c r="L40" s="4" t="inlineStr">
        <is>
          <t>P-010</t>
        </is>
      </c>
      <c r="M40" s="4" t="n">
        <v>32</v>
      </c>
      <c r="N40" s="4" t="n">
        <v>0</v>
      </c>
      <c r="O40" s="4" t="inlineStr">
        <is>
          <t>OPEN QUESTION: existing V2 PRD scopes this as a P0 V2 feature. Trevor's Gen 3 spec does not address it. Treated here as GA P0; needs Matthew sign-off.</t>
        </is>
      </c>
      <c r="P40" s="8" t="n">
        <v>46167</v>
      </c>
    </row>
    <row r="41" ht="42" customHeight="1">
      <c r="A41" s="4" t="inlineStr">
        <is>
          <t>F-039</t>
        </is>
      </c>
      <c r="B41" s="4" t="inlineStr">
        <is>
          <t>Referral programme</t>
        </is>
      </c>
      <c r="C41" s="4" t="inlineStr">
        <is>
          <t>infrastructure</t>
        </is>
      </c>
      <c r="D41" s="4" t="inlineStr">
        <is>
          <t>In-product referral mechanism with 20% rev share.</t>
        </is>
      </c>
      <c r="E41" s="4" t="inlineStr">
        <is>
          <t>GA</t>
        </is>
      </c>
      <c r="F41" s="4" t="inlineStr">
        <is>
          <t>P1</t>
        </is>
      </c>
      <c r="G41" s="4" t="inlineStr">
        <is>
          <t>not_started</t>
        </is>
      </c>
      <c r="H41" s="7" t="n">
        <v>0</v>
      </c>
      <c r="I41" s="4" t="inlineStr"/>
      <c r="J41" s="4" t="inlineStr">
        <is>
          <t>Matthew</t>
        </is>
      </c>
      <c r="K41" s="4" t="inlineStr">
        <is>
          <t>F-019</t>
        </is>
      </c>
      <c r="L41" s="4" t="inlineStr"/>
      <c r="M41" s="4" t="n">
        <v>24</v>
      </c>
      <c r="N41" s="4" t="n">
        <v>0</v>
      </c>
      <c r="O41" s="4" t="inlineStr">
        <is>
          <t>Acquisition lever from GA Plan.</t>
        </is>
      </c>
      <c r="P41" s="8" t="n">
        <v>46167</v>
      </c>
    </row>
    <row r="42" ht="42" customHeight="1">
      <c r="A42" s="4" t="inlineStr">
        <is>
          <t>F-040</t>
        </is>
      </c>
      <c r="B42" s="4" t="inlineStr">
        <is>
          <t>Affiliate tracking infrastructure</t>
        </is>
      </c>
      <c r="C42" s="4" t="inlineStr">
        <is>
          <t>infrastructure</t>
        </is>
      </c>
      <c r="D42" s="4" t="inlineStr">
        <is>
          <t>Partner affiliate links, attribution, payout reporting.</t>
        </is>
      </c>
      <c r="E42" s="4" t="inlineStr">
        <is>
          <t>GA</t>
        </is>
      </c>
      <c r="F42" s="4" t="inlineStr">
        <is>
          <t>P1</t>
        </is>
      </c>
      <c r="G42" s="4" t="inlineStr">
        <is>
          <t>not_started</t>
        </is>
      </c>
      <c r="H42" s="7" t="n">
        <v>0</v>
      </c>
      <c r="I42" s="4" t="inlineStr"/>
      <c r="J42" s="4" t="inlineStr">
        <is>
          <t>Matthew</t>
        </is>
      </c>
      <c r="K42" s="4" t="inlineStr"/>
      <c r="L42" s="4" t="inlineStr"/>
      <c r="M42" s="4" t="n">
        <v>24</v>
      </c>
      <c r="N42" s="4" t="n">
        <v>0</v>
      </c>
      <c r="O42" s="4" t="inlineStr">
        <is>
          <t>Brand strategist partner channel needs attribution before outreach.</t>
        </is>
      </c>
      <c r="P42" s="8" t="n">
        <v>46167</v>
      </c>
    </row>
    <row r="43" ht="42" customHeight="1">
      <c r="A43" s="4" t="inlineStr">
        <is>
          <t>F-041</t>
        </is>
      </c>
      <c r="B43" s="4" t="inlineStr">
        <is>
          <t>SEO foundation</t>
        </is>
      </c>
      <c r="C43" s="4" t="inlineStr">
        <is>
          <t>infrastructure</t>
        </is>
      </c>
      <c r="D43" s="4" t="inlineStr">
        <is>
          <t>Sitemap, schema markup, content templates for long-tail brand strategy queries.</t>
        </is>
      </c>
      <c r="E43" s="4" t="inlineStr">
        <is>
          <t>GA</t>
        </is>
      </c>
      <c r="F43" s="4" t="inlineStr">
        <is>
          <t>P1</t>
        </is>
      </c>
      <c r="G43" s="4" t="inlineStr">
        <is>
          <t>not_started</t>
        </is>
      </c>
      <c r="H43" s="7" t="n">
        <v>0</v>
      </c>
      <c r="I43" s="4" t="inlineStr"/>
      <c r="J43" s="4" t="inlineStr">
        <is>
          <t>Matthew</t>
        </is>
      </c>
      <c r="K43" s="4" t="inlineStr"/>
      <c r="L43" s="4" t="inlineStr"/>
      <c r="M43" s="4" t="n">
        <v>20</v>
      </c>
      <c r="N43" s="4" t="n">
        <v>0</v>
      </c>
      <c r="O43" s="4" t="inlineStr">
        <is>
          <t>Three-month organic ramp — start at beginning of beta to earn GA traffic.</t>
        </is>
      </c>
      <c r="P43" s="8" t="n">
        <v>46167</v>
      </c>
    </row>
    <row r="44" ht="42" customHeight="1">
      <c r="A44" s="4" t="inlineStr">
        <is>
          <t>F-042</t>
        </is>
      </c>
      <c r="B44" s="4" t="inlineStr">
        <is>
          <t>Avatar comparison view</t>
        </is>
      </c>
      <c r="C44" s="4" t="inlineStr">
        <is>
          <t>avatar_builder</t>
        </is>
      </c>
      <c r="D44" s="4" t="inlineStr">
        <is>
          <t>Side-by-side comparison of two avatars (different segments, different brands).</t>
        </is>
      </c>
      <c r="E44" s="4" t="inlineStr">
        <is>
          <t>GA</t>
        </is>
      </c>
      <c r="F44" s="4" t="inlineStr">
        <is>
          <t>P1</t>
        </is>
      </c>
      <c r="G44" s="4" t="inlineStr">
        <is>
          <t>not_started</t>
        </is>
      </c>
      <c r="H44" s="7" t="n">
        <v>0</v>
      </c>
      <c r="I44" s="4" t="inlineStr"/>
      <c r="J44" s="4" t="inlineStr">
        <is>
          <t>Matthew</t>
        </is>
      </c>
      <c r="K44" s="4" t="inlineStr">
        <is>
          <t>F-031</t>
        </is>
      </c>
      <c r="L44" s="4" t="inlineStr">
        <is>
          <t>P-008</t>
        </is>
      </c>
      <c r="M44" s="4" t="n">
        <v>24</v>
      </c>
      <c r="N44" s="4" t="n">
        <v>0</v>
      </c>
      <c r="O44" s="4" t="inlineStr">
        <is>
          <t>Power-user feature; rewards multi-canvas usage.</t>
        </is>
      </c>
      <c r="P44" s="8" t="n">
        <v>46167</v>
      </c>
    </row>
    <row r="45" ht="42" customHeight="1">
      <c r="A45" s="4" t="inlineStr">
        <is>
          <t>F-043</t>
        </is>
      </c>
      <c r="B45" s="4" t="inlineStr">
        <is>
          <t>Field edit history viewer</t>
        </is>
      </c>
      <c r="C45" s="4" t="inlineStr">
        <is>
          <t>avatar_builder</t>
        </is>
      </c>
      <c r="D45" s="4" t="inlineStr">
        <is>
          <t>Audit log per field showing edit history and which canvas version each value was active in.</t>
        </is>
      </c>
      <c r="E45" s="4" t="inlineStr">
        <is>
          <t>GA</t>
        </is>
      </c>
      <c r="F45" s="4" t="inlineStr">
        <is>
          <t>P1</t>
        </is>
      </c>
      <c r="G45" s="4" t="inlineStr">
        <is>
          <t>not_started</t>
        </is>
      </c>
      <c r="H45" s="7" t="n">
        <v>0</v>
      </c>
      <c r="I45" s="4" t="inlineStr"/>
      <c r="J45" s="4" t="inlineStr">
        <is>
          <t>Matthew</t>
        </is>
      </c>
      <c r="K45" s="4" t="inlineStr">
        <is>
          <t>F-046</t>
        </is>
      </c>
      <c r="L45" s="4" t="inlineStr">
        <is>
          <t>P-009</t>
        </is>
      </c>
      <c r="M45" s="4" t="n">
        <v>16</v>
      </c>
      <c r="N45" s="4" t="n">
        <v>0</v>
      </c>
      <c r="O45" s="4" t="inlineStr">
        <is>
          <t>Schema needs field_edit_history table.</t>
        </is>
      </c>
      <c r="P45" s="8" t="n">
        <v>46167</v>
      </c>
    </row>
    <row r="46" ht="42" customHeight="1">
      <c r="A46" s="4" t="inlineStr">
        <is>
          <t>F-044</t>
        </is>
      </c>
      <c r="B46" s="4" t="inlineStr">
        <is>
          <t>Bulk operations</t>
        </is>
      </c>
      <c r="C46" s="4" t="inlineStr">
        <is>
          <t>avatar_builder</t>
        </is>
      </c>
      <c r="D46" s="4" t="inlineStr">
        <is>
          <t>Copy fields between avatars; find/replace across an avatar.</t>
        </is>
      </c>
      <c r="E46" s="4" t="inlineStr">
        <is>
          <t>GA</t>
        </is>
      </c>
      <c r="F46" s="4" t="inlineStr">
        <is>
          <t>P1</t>
        </is>
      </c>
      <c r="G46" s="4" t="inlineStr">
        <is>
          <t>not_started</t>
        </is>
      </c>
      <c r="H46" s="7" t="n">
        <v>0</v>
      </c>
      <c r="I46" s="4" t="inlineStr"/>
      <c r="J46" s="4" t="inlineStr">
        <is>
          <t>Matthew</t>
        </is>
      </c>
      <c r="K46" s="4" t="inlineStr">
        <is>
          <t>F-031</t>
        </is>
      </c>
      <c r="L46" s="4" t="inlineStr"/>
      <c r="M46" s="4" t="n">
        <v>20</v>
      </c>
      <c r="N46" s="4" t="n">
        <v>0</v>
      </c>
      <c r="O46" s="4" t="inlineStr">
        <is>
          <t>Power-user feature.</t>
        </is>
      </c>
      <c r="P46" s="8" t="n">
        <v>46167</v>
      </c>
    </row>
    <row r="47" ht="42" customHeight="1">
      <c r="A47" s="4" t="inlineStr">
        <is>
          <t>F-045a</t>
        </is>
      </c>
      <c r="B47" s="4" t="inlineStr">
        <is>
          <t>TikTok-specific landing page</t>
        </is>
      </c>
      <c r="C47" s="4" t="inlineStr">
        <is>
          <t>design_system</t>
        </is>
      </c>
      <c r="D47" s="4" t="inlineStr">
        <is>
          <t>Variant landing page optimised for TikTok cold traffic.</t>
        </is>
      </c>
      <c r="E47" s="4" t="inlineStr">
        <is>
          <t>Post-GA</t>
        </is>
      </c>
      <c r="F47" s="4" t="inlineStr">
        <is>
          <t>P1</t>
        </is>
      </c>
      <c r="G47" s="4" t="inlineStr">
        <is>
          <t>not_started</t>
        </is>
      </c>
      <c r="H47" s="7" t="n">
        <v>0</v>
      </c>
      <c r="I47" s="4" t="inlineStr"/>
      <c r="J47" s="4" t="inlineStr">
        <is>
          <t>Matthew</t>
        </is>
      </c>
      <c r="K47" s="4" t="inlineStr">
        <is>
          <t>F-034</t>
        </is>
      </c>
      <c r="L47" s="4" t="inlineStr"/>
      <c r="M47" s="4" t="n">
        <v>12</v>
      </c>
      <c r="N47" s="4" t="n">
        <v>0</v>
      </c>
      <c r="O47" s="4" t="inlineStr">
        <is>
          <t>TikTok integration is GA+4wks per Launch Roadmap; not a build dependency.</t>
        </is>
      </c>
      <c r="P47" s="8" t="n">
        <v>46167</v>
      </c>
    </row>
    <row r="48" ht="42" customHeight="1">
      <c r="A48" s="4" t="inlineStr">
        <is>
          <t>F-045b</t>
        </is>
      </c>
      <c r="B48" s="4" t="inlineStr">
        <is>
          <t>UTM tagging across TikTok touchpoints</t>
        </is>
      </c>
      <c r="C48" s="4" t="inlineStr">
        <is>
          <t>analytics</t>
        </is>
      </c>
      <c r="D48" s="4" t="inlineStr">
        <is>
          <t>Consistent UTM scheme on every TikTok-originating link.</t>
        </is>
      </c>
      <c r="E48" s="4" t="inlineStr">
        <is>
          <t>Post-GA</t>
        </is>
      </c>
      <c r="F48" s="4" t="inlineStr">
        <is>
          <t>P1</t>
        </is>
      </c>
      <c r="G48" s="4" t="inlineStr">
        <is>
          <t>not_started</t>
        </is>
      </c>
      <c r="H48" s="7" t="n">
        <v>0</v>
      </c>
      <c r="I48" s="4" t="inlineStr"/>
      <c r="J48" s="4" t="inlineStr">
        <is>
          <t>Matthew</t>
        </is>
      </c>
      <c r="K48" s="4" t="inlineStr">
        <is>
          <t>F-024</t>
        </is>
      </c>
      <c r="L48" s="4" t="inlineStr"/>
      <c r="M48" s="4" t="n">
        <v>4</v>
      </c>
      <c r="N48" s="4" t="n">
        <v>0</v>
      </c>
      <c r="O48" s="4" t="inlineStr"/>
      <c r="P48" s="8" t="n">
        <v>46167</v>
      </c>
    </row>
    <row r="49" ht="42" customHeight="1">
      <c r="A49" s="4" t="inlineStr">
        <is>
          <t>F-045c</t>
        </is>
      </c>
      <c r="B49" s="4" t="inlineStr">
        <is>
          <t>TikTok Pixel integration</t>
        </is>
      </c>
      <c r="C49" s="4" t="inlineStr">
        <is>
          <t>analytics</t>
        </is>
      </c>
      <c r="D49" s="4" t="inlineStr">
        <is>
          <t>TikTok Pixel installed on landing pages and conversion events.</t>
        </is>
      </c>
      <c r="E49" s="4" t="inlineStr">
        <is>
          <t>Post-GA</t>
        </is>
      </c>
      <c r="F49" s="4" t="inlineStr">
        <is>
          <t>P1</t>
        </is>
      </c>
      <c r="G49" s="4" t="inlineStr">
        <is>
          <t>not_started</t>
        </is>
      </c>
      <c r="H49" s="7" t="n">
        <v>0</v>
      </c>
      <c r="I49" s="4" t="inlineStr"/>
      <c r="J49" s="4" t="inlineStr">
        <is>
          <t>Matthew</t>
        </is>
      </c>
      <c r="K49" s="4" t="inlineStr"/>
      <c r="L49" s="4" t="inlineStr"/>
      <c r="M49" s="4" t="n">
        <v>4</v>
      </c>
      <c r="N49" s="4" t="n">
        <v>0</v>
      </c>
      <c r="O49" s="4" t="inlineStr"/>
      <c r="P49" s="8" t="n">
        <v>46167</v>
      </c>
    </row>
    <row r="50" ht="42" customHeight="1">
      <c r="A50" s="4" t="inlineStr">
        <is>
          <t>F-045d</t>
        </is>
      </c>
      <c r="B50" s="4" t="inlineStr">
        <is>
          <t>Self-report attribution question on signup</t>
        </is>
      </c>
      <c r="C50" s="4" t="inlineStr">
        <is>
          <t>analytics</t>
        </is>
      </c>
      <c r="D50" s="4" t="inlineStr">
        <is>
          <t>'Where did you hear about us?' on signup; option for TikTok and named creators.</t>
        </is>
      </c>
      <c r="E50" s="4" t="inlineStr">
        <is>
          <t>Post-GA</t>
        </is>
      </c>
      <c r="F50" s="4" t="inlineStr">
        <is>
          <t>P1</t>
        </is>
      </c>
      <c r="G50" s="4" t="inlineStr">
        <is>
          <t>not_started</t>
        </is>
      </c>
      <c r="H50" s="7" t="n">
        <v>0</v>
      </c>
      <c r="I50" s="4" t="inlineStr"/>
      <c r="J50" s="4" t="inlineStr">
        <is>
          <t>Matthew</t>
        </is>
      </c>
      <c r="K50" s="4" t="inlineStr"/>
      <c r="L50" s="4" t="inlineStr"/>
      <c r="M50" s="4" t="n">
        <v>4</v>
      </c>
      <c r="N50" s="4" t="n">
        <v>0</v>
      </c>
      <c r="O50" s="4" t="inlineStr">
        <is>
          <t>Pairs with UTM data to triangulate true attribution.</t>
        </is>
      </c>
      <c r="P50" s="8" t="n">
        <v>46167</v>
      </c>
    </row>
    <row r="51" ht="42" customHeight="1">
      <c r="A51" s="4" t="inlineStr">
        <is>
          <t>F-046</t>
        </is>
      </c>
      <c r="B51" s="4" t="inlineStr">
        <is>
          <t>Database migrations (additive)</t>
        </is>
      </c>
      <c r="C51" s="4" t="inlineStr">
        <is>
          <t>infrastructure</t>
        </is>
      </c>
      <c r="D51" s="4" t="inlineStr">
        <is>
          <t>Migrations for brands, avatars, avatar_profiles, brand_strategies, performance_metrics, field_edit_history, assets (if asset tracking ships).</t>
        </is>
      </c>
      <c r="E51" s="4" t="inlineStr">
        <is>
          <t>Alpha</t>
        </is>
      </c>
      <c r="F51" s="4" t="inlineStr">
        <is>
          <t>P0</t>
        </is>
      </c>
      <c r="G51" s="4" t="inlineStr">
        <is>
          <t>in_progress</t>
        </is>
      </c>
      <c r="H51" s="7" t="n">
        <v>50</v>
      </c>
      <c r="I51" s="4" t="inlineStr"/>
      <c r="J51" s="4" t="inlineStr">
        <is>
          <t>Matthew</t>
        </is>
      </c>
      <c r="K51" s="4" t="inlineStr"/>
      <c r="L51" s="4" t="inlineStr"/>
      <c r="M51" s="4" t="n">
        <v>24</v>
      </c>
      <c r="N51" s="4" t="n">
        <v>0</v>
      </c>
      <c r="O51" s="4" t="inlineStr">
        <is>
          <t>Additive only. RLS policies in F-047.</t>
        </is>
      </c>
      <c r="P51" s="8" t="n">
        <v>46167</v>
      </c>
    </row>
    <row r="52" ht="42" customHeight="1">
      <c r="A52" s="4" t="inlineStr">
        <is>
          <t>F-047</t>
        </is>
      </c>
      <c r="B52" s="4" t="inlineStr">
        <is>
          <t>RLS policies for new tables</t>
        </is>
      </c>
      <c r="C52" s="4" t="inlineStr">
        <is>
          <t>infrastructure</t>
        </is>
      </c>
      <c r="D52" s="4" t="inlineStr">
        <is>
          <t>Row-level-security policies on every new table created in F-046.</t>
        </is>
      </c>
      <c r="E52" s="4" t="inlineStr">
        <is>
          <t>Alpha</t>
        </is>
      </c>
      <c r="F52" s="4" t="inlineStr">
        <is>
          <t>P0</t>
        </is>
      </c>
      <c r="G52" s="4" t="inlineStr">
        <is>
          <t>in_progress</t>
        </is>
      </c>
      <c r="H52" s="7" t="n">
        <v>40</v>
      </c>
      <c r="I52" s="4" t="inlineStr"/>
      <c r="J52" s="4" t="inlineStr">
        <is>
          <t>Matthew</t>
        </is>
      </c>
      <c r="K52" s="4" t="inlineStr">
        <is>
          <t>F-046</t>
        </is>
      </c>
      <c r="L52" s="4" t="inlineStr"/>
      <c r="M52" s="4" t="n">
        <v>12</v>
      </c>
      <c r="N52" s="4" t="n">
        <v>0</v>
      </c>
      <c r="O52" s="4" t="inlineStr"/>
      <c r="P52" s="8" t="n">
        <v>46167</v>
      </c>
    </row>
    <row r="53" ht="42" customHeight="1">
      <c r="A53" s="4" t="inlineStr">
        <is>
          <t>F-048</t>
        </is>
      </c>
      <c r="B53" s="4" t="inlineStr">
        <is>
          <t>Edge functions</t>
        </is>
      </c>
      <c r="C53" s="4" t="inlineStr">
        <is>
          <t>infrastructure</t>
        </is>
      </c>
      <c r="D53" s="4" t="inlineStr">
        <is>
          <t>conversation, canvas-synthesis, create-copy, coach-conversation, voice-of-customer-analysis edge functions.</t>
        </is>
      </c>
      <c r="E53" s="4" t="inlineStr">
        <is>
          <t>Alpha</t>
        </is>
      </c>
      <c r="F53" s="4" t="inlineStr">
        <is>
          <t>P0</t>
        </is>
      </c>
      <c r="G53" s="4" t="inlineStr">
        <is>
          <t>in_progress</t>
        </is>
      </c>
      <c r="H53" s="7" t="n">
        <v>40</v>
      </c>
      <c r="I53" s="4" t="inlineStr"/>
      <c r="J53" s="4" t="inlineStr">
        <is>
          <t>Matthew</t>
        </is>
      </c>
      <c r="K53" s="4" t="inlineStr"/>
      <c r="L53" s="4" t="inlineStr"/>
      <c r="M53" s="4" t="n">
        <v>40</v>
      </c>
      <c r="N53" s="4" t="n">
        <v>0</v>
      </c>
      <c r="O53" s="4" t="inlineStr">
        <is>
          <t>idea-framework-consultant exists; Gen 3 functions partially overlap. Audit needed.</t>
        </is>
      </c>
      <c r="P53" s="8" t="n">
        <v>46167</v>
      </c>
    </row>
    <row r="54" ht="42" customHeight="1">
      <c r="A54" s="4" t="inlineStr">
        <is>
          <t>F-049</t>
        </is>
      </c>
      <c r="B54" s="4" t="inlineStr">
        <is>
          <t>RAG integration with System KB</t>
        </is>
      </c>
      <c r="C54" s="4" t="inlineStr">
        <is>
          <t>infrastructure</t>
        </is>
      </c>
      <c r="D54" s="4" t="inlineStr">
        <is>
          <t>Retrieval from the existing System KB vector store (vs_6948707b318c81918a90e9b44970a99e) in all relevant edge functions.</t>
        </is>
      </c>
      <c r="E54" s="4" t="inlineStr">
        <is>
          <t>Alpha</t>
        </is>
      </c>
      <c r="F54" s="4" t="inlineStr">
        <is>
          <t>P0</t>
        </is>
      </c>
      <c r="G54" s="4" t="inlineStr">
        <is>
          <t>in_progress</t>
        </is>
      </c>
      <c r="H54" s="7" t="n">
        <v>60</v>
      </c>
      <c r="I54" s="4" t="inlineStr"/>
      <c r="J54" s="4" t="inlineStr">
        <is>
          <t>Matthew</t>
        </is>
      </c>
      <c r="K54" s="4" t="inlineStr">
        <is>
          <t>F-048</t>
        </is>
      </c>
      <c r="L54" s="4" t="inlineStr">
        <is>
          <t>P-007</t>
        </is>
      </c>
      <c r="M54" s="4" t="n">
        <v>16</v>
      </c>
      <c r="N54" s="4" t="n">
        <v>0</v>
      </c>
      <c r="O54" s="4" t="inlineStr">
        <is>
          <t>OpenAI embeddings removed in commit 260128b (consolidated to Claude/internal embeddings) — verify RAG pipeline still wired.</t>
        </is>
      </c>
      <c r="P54" s="8" t="n">
        <v>46167</v>
      </c>
    </row>
    <row r="55" ht="42" customHeight="1">
      <c r="A55" s="4" t="inlineStr">
        <is>
          <t>F-050</t>
        </is>
      </c>
      <c r="B55" s="4" t="inlineStr">
        <is>
          <t>Feature flag system</t>
        </is>
      </c>
      <c r="C55" s="4" t="inlineStr">
        <is>
          <t>infrastructure</t>
        </is>
      </c>
      <c r="D55" s="4" t="inlineStr">
        <is>
          <t>Ensure useFeatureFlag gates every V2/Gen 3 route; flags toggle independently.</t>
        </is>
      </c>
      <c r="E55" s="4" t="inlineStr">
        <is>
          <t>Alpha</t>
        </is>
      </c>
      <c r="F55" s="4" t="inlineStr">
        <is>
          <t>P0</t>
        </is>
      </c>
      <c r="G55" s="4" t="inlineStr">
        <is>
          <t>in_progress</t>
        </is>
      </c>
      <c r="H55" s="7" t="n">
        <v>80</v>
      </c>
      <c r="I55" s="4" t="inlineStr"/>
      <c r="J55" s="4" t="inlineStr">
        <is>
          <t>Matthew</t>
        </is>
      </c>
      <c r="K55" s="4" t="inlineStr"/>
      <c r="L55" s="4" t="inlineStr"/>
      <c r="M55" s="4" t="n">
        <v>8</v>
      </c>
      <c r="N55" s="4" t="n">
        <v>0</v>
      </c>
      <c r="O55" s="4" t="inlineStr">
        <is>
          <t>Hook already exists. Audit V2 routes for missing gates.</t>
        </is>
      </c>
      <c r="P55" s="8" t="n">
        <v>46167</v>
      </c>
    </row>
    <row r="56" ht="42" customHeight="1">
      <c r="A56" s="4" t="inlineStr">
        <is>
          <t>F-051</t>
        </is>
      </c>
      <c r="B56" s="4" t="inlineStr">
        <is>
          <t>Pre-implementation refactoring sprint</t>
        </is>
      </c>
      <c r="C56" s="4" t="inlineStr">
        <is>
          <t>infrastructure</t>
        </is>
      </c>
      <c r="D56" s="4" t="inlineStr">
        <is>
          <t>Week-0 refactoring sprint per V2 PRD: service extraction, field sync architecture, component composition.</t>
        </is>
      </c>
      <c r="E56" s="4" t="inlineStr">
        <is>
          <t>Alpha</t>
        </is>
      </c>
      <c r="F56" s="4" t="inlineStr">
        <is>
          <t>P0</t>
        </is>
      </c>
      <c r="G56" s="4" t="inlineStr">
        <is>
          <t>in_progress</t>
        </is>
      </c>
      <c r="H56" s="7" t="n">
        <v>70</v>
      </c>
      <c r="I56" s="4" t="inlineStr"/>
      <c r="J56" s="4" t="inlineStr">
        <is>
          <t>Matthew</t>
        </is>
      </c>
      <c r="K56" s="4" t="inlineStr"/>
      <c r="L56" s="4" t="inlineStr"/>
      <c r="M56" s="4" t="n">
        <v>40</v>
      </c>
      <c r="N56" s="4" t="n">
        <v>0</v>
      </c>
      <c r="O56" s="4" t="inlineStr">
        <is>
          <t>Refactor patterns shipped (SupabaseChatService split, FieldSyncService, AIAssistant decomposition). Verify all Gen 3 work picks up new patterns.</t>
        </is>
      </c>
      <c r="P56" s="8" t="n">
        <v>46167</v>
      </c>
    </row>
    <row r="57" ht="42" customHeight="1">
      <c r="A57" s="4" t="inlineStr">
        <is>
          <t>F-053</t>
        </is>
      </c>
      <c r="B57" s="4" t="inlineStr">
        <is>
          <t>Multiple positioning angles per avatar</t>
        </is>
      </c>
      <c r="C57" s="4" t="inlineStr">
        <is>
          <t>avatar_builder</t>
        </is>
      </c>
      <c r="D57" s="4" t="inlineStr">
        <is>
          <t>Support multiple positioning / marketing angle variants for the same avatar — each angle has its own brand strategy doc / canvas section, but shares the underlying avatar.</t>
        </is>
      </c>
      <c r="E57" s="4" t="inlineStr">
        <is>
          <t>Beta</t>
        </is>
      </c>
      <c r="F57" s="4" t="inlineStr">
        <is>
          <t>P1</t>
        </is>
      </c>
      <c r="G57" s="4" t="inlineStr">
        <is>
          <t>not_started</t>
        </is>
      </c>
      <c r="H57" s="7" t="n">
        <v>0</v>
      </c>
      <c r="I57" s="4" t="inlineStr"/>
      <c r="J57" s="4" t="inlineStr">
        <is>
          <t>Matthew</t>
        </is>
      </c>
      <c r="K57" s="4" t="inlineStr">
        <is>
          <t>F-008,F-031</t>
        </is>
      </c>
      <c r="L57" s="4" t="inlineStr">
        <is>
          <t>P-003,P-008,P-010</t>
        </is>
      </c>
      <c r="M57" s="4" t="n">
        <v>40</v>
      </c>
      <c r="N57" s="4" t="n">
        <v>0</v>
      </c>
      <c r="O57" s="4" t="inlineStr">
        <is>
          <t>Validates A/B angle testing for paying users. Each angle = a strategy variant tied to a canonical avatar. Surfaces in Coach mode and Export. OPEN: schema choice — separate canvases per angle vs angle-tagged sections within one canvas.</t>
        </is>
      </c>
      <c r="P57" s="8" t="n">
        <v>46167</v>
      </c>
    </row>
    <row r="58" ht="42" customHeight="1">
      <c r="A58" s="4" t="inlineStr">
        <is>
          <t>F-054</t>
        </is>
      </c>
      <c r="B58" s="4" t="inlineStr">
        <is>
          <t>Image asset side-by-side comparison and tracking</t>
        </is>
      </c>
      <c r="C58" s="4" t="inlineStr">
        <is>
          <t>asset_tracking</t>
        </is>
      </c>
      <c r="D58" s="4" t="inlineStr">
        <is>
          <t>Upload current image/video assets, view side-by-side, tag against avatar + angle, flag gaps and emotional-connection opportunities.</t>
        </is>
      </c>
      <c r="E58" s="4" t="inlineStr">
        <is>
          <t>GA</t>
        </is>
      </c>
      <c r="F58" s="4" t="inlineStr">
        <is>
          <t>P1</t>
        </is>
      </c>
      <c r="G58" s="4" t="inlineStr">
        <is>
          <t>not_started</t>
        </is>
      </c>
      <c r="H58" s="7" t="n">
        <v>0</v>
      </c>
      <c r="I58" s="4" t="inlineStr">
        <is>
          <t>Conditional on F-028 (asset tracking decision)</t>
        </is>
      </c>
      <c r="J58" s="4" t="inlineStr">
        <is>
          <t>Matthew</t>
        </is>
      </c>
      <c r="K58" s="4" t="inlineStr">
        <is>
          <t>F-028,F-053</t>
        </is>
      </c>
      <c r="L58" s="4" t="inlineStr">
        <is>
          <t>P-006,P-009</t>
        </is>
      </c>
      <c r="M58" s="4" t="n">
        <v>56</v>
      </c>
      <c r="N58" s="4" t="n">
        <v>0</v>
      </c>
      <c r="O58" s="4" t="inlineStr">
        <is>
          <t>Extension of asset_tracking that goes beyond text. Anchored to InfinityVault need N-002 (assess images/videos, identify what's missing, surface emotional-connection opportunities). Requires image storage (Supabase Storage) and a comparison UI.</t>
        </is>
      </c>
      <c r="P58" s="8" t="n">
        <v>46167</v>
      </c>
    </row>
    <row r="59" ht="42" customHeight="1">
      <c r="A59" s="4" t="inlineStr">
        <is>
          <t>F-055</t>
        </is>
      </c>
      <c r="B59" s="4" t="inlineStr">
        <is>
          <t>Design brief creation</t>
        </is>
      </c>
      <c r="C59" s="4" t="inlineStr">
        <is>
          <t>create_mode</t>
        </is>
      </c>
      <c r="D59" s="4" t="inlineStr">
        <is>
          <t>Generate a design brief document from the Forensic Canvas + selected positioning angle. Output briefs creative work (image, video, packaging) for designers or agencies.</t>
        </is>
      </c>
      <c r="E59" s="4" t="inlineStr">
        <is>
          <t>Beta</t>
        </is>
      </c>
      <c r="F59" s="4" t="inlineStr">
        <is>
          <t>P1</t>
        </is>
      </c>
      <c r="G59" s="4" t="inlineStr">
        <is>
          <t>not_started</t>
        </is>
      </c>
      <c r="H59" s="7" t="n">
        <v>0</v>
      </c>
      <c r="I59" s="4" t="inlineStr"/>
      <c r="J59" s="4" t="inlineStr">
        <is>
          <t>Matthew</t>
        </is>
      </c>
      <c r="K59" s="4" t="inlineStr">
        <is>
          <t>F-008,F-053</t>
        </is>
      </c>
      <c r="L59" s="4" t="inlineStr">
        <is>
          <t>P-004,P-006,P-008</t>
        </is>
      </c>
      <c r="M59" s="4" t="n">
        <v>32</v>
      </c>
      <c r="N59" s="4" t="n">
        <v>0</v>
      </c>
      <c r="O59" s="4" t="inlineStr">
        <is>
          <t>Sibling to F-020 (Amazon listing copy) and F-021 (Brand Voice Guide). Bridges the canvas to creative work. Required to make F-054 actionable (gap → brief → asset).</t>
        </is>
      </c>
      <c r="P59" s="8" t="n">
        <v>46167</v>
      </c>
    </row>
    <row r="60" ht="42" customHeight="1">
      <c r="A60" s="4" t="inlineStr">
        <is>
          <t>F-056</t>
        </is>
      </c>
      <c r="B60" s="4" t="inlineStr">
        <is>
          <t>Image generation — deliberate non-goal</t>
        </is>
      </c>
      <c r="C60" s="4" t="inlineStr">
        <is>
          <t>create_mode</t>
        </is>
      </c>
      <c r="D60" s="4" t="inlineStr">
        <is>
          <t>NOT building. Deliberate non-goal: position IDEA as the brand brief upstream of image tools like Pixii — 'build your brand brief in IDEA, execute anywhere.'</t>
        </is>
      </c>
      <c r="E60" s="4" t="inlineStr">
        <is>
          <t>Post-GA</t>
        </is>
      </c>
      <c r="F60" s="4" t="inlineStr">
        <is>
          <t>P2</t>
        </is>
      </c>
      <c r="G60" s="4" t="inlineStr">
        <is>
          <t>not_started</t>
        </is>
      </c>
      <c r="H60" s="7" t="n">
        <v>0</v>
      </c>
      <c r="I60" s="4" t="inlineStr"/>
      <c r="J60" s="4" t="inlineStr">
        <is>
          <t>Matthew</t>
        </is>
      </c>
      <c r="K60" s="4" t="inlineStr">
        <is>
          <t>F-055</t>
        </is>
      </c>
      <c r="L60" s="4" t="inlineStr"/>
      <c r="M60" s="4" t="n">
        <v>80</v>
      </c>
      <c r="N60" s="4" t="n">
        <v>0</v>
      </c>
      <c r="O60" s="4" t="inlineStr">
        <is>
          <t>DECISION (2026-05-25): deliberate non-goal, not a backlog item. Image gen needs separate infra + ongoing cost and doesn't improve the core understanding product. Strategy: be the brief upstream of Pixii [Analysis 2026-05-17 'On Image Generation']. Pending Matthew formal sign-off to fully cut.</t>
        </is>
      </c>
      <c r="P60" s="8" t="n">
        <v>46167</v>
      </c>
    </row>
    <row r="61" ht="42" customHeight="1">
      <c r="A61" s="4" t="inlineStr">
        <is>
          <t>F-052</t>
        </is>
      </c>
      <c r="B61" s="4" t="inlineStr">
        <is>
          <t>Lovable.dev vs existing codebase decision</t>
        </is>
      </c>
      <c r="C61" s="4" t="inlineStr">
        <is>
          <t>infrastructure</t>
        </is>
      </c>
      <c r="D61" s="4" t="inlineStr">
        <is>
          <t>Architectural decision: build Gen 3 in Lovable.dev (per Trevor) or extend existing React codebase. Critical risk per Launch Roadmap.</t>
        </is>
      </c>
      <c r="E61" s="4" t="inlineStr">
        <is>
          <t>Alpha</t>
        </is>
      </c>
      <c r="F61" s="4" t="inlineStr">
        <is>
          <t>P0</t>
        </is>
      </c>
      <c r="G61" s="4" t="inlineStr">
        <is>
          <t>complete</t>
        </is>
      </c>
      <c r="H61" s="7" t="n">
        <v>100</v>
      </c>
      <c r="I61" s="4" t="inlineStr"/>
      <c r="J61" s="4" t="inlineStr">
        <is>
          <t>Matthew</t>
        </is>
      </c>
      <c r="K61" s="4" t="inlineStr"/>
      <c r="L61" s="4" t="inlineStr"/>
      <c r="M61" s="4" t="n">
        <v>4</v>
      </c>
      <c r="N61" s="4" t="n">
        <v>0</v>
      </c>
      <c r="O61" s="4" t="inlineStr">
        <is>
          <t>RESOLVED 2026-04-23 [F 140678453]: split dev — Matthew builds backend in Claude Code, Trevor builds the marketing site in Lovable; beta stays on Lovable; ideabrandcoach.com on the same codebase/DB initially; custom server deferred until traction. R-013 downgraded to resolved.</t>
        </is>
      </c>
      <c r="P61" s="8" t="n">
        <v>46167</v>
      </c>
    </row>
    <row r="62" ht="42" customHeight="1">
      <c r="A62" s="4" t="inlineStr">
        <is>
          <t>F-057</t>
        </is>
      </c>
      <c r="B62" s="4" t="inlineStr">
        <is>
          <t>Trust Gap™ Score results screen</t>
        </is>
      </c>
      <c r="C62" s="4" t="inlineStr">
        <is>
          <t>conversation</t>
        </is>
      </c>
      <c r="D62" s="4" t="inlineStr">
        <is>
          <t>Diagnostic results reframed as an aggregated Trust Gap™ Score (e.g. 73) that flags the widest-gap pillar (e.g. empathy). Same 6 questions / 4 pillars; UI + copy only, logic unchanged.</t>
        </is>
      </c>
      <c r="E62" s="4" t="inlineStr">
        <is>
          <t>Alpha</t>
        </is>
      </c>
      <c r="F62" s="4" t="inlineStr">
        <is>
          <t>P0</t>
        </is>
      </c>
      <c r="G62" s="4" t="inlineStr">
        <is>
          <t>not_started</t>
        </is>
      </c>
      <c r="H62" s="7" t="n">
        <v>0</v>
      </c>
      <c r="I62" s="4" t="inlineStr"/>
      <c r="J62" s="4" t="inlineStr">
        <is>
          <t>Matthew</t>
        </is>
      </c>
      <c r="K62" s="4" t="inlineStr">
        <is>
          <t>F-027</t>
        </is>
      </c>
      <c r="L62" s="4" t="inlineStr">
        <is>
          <t>P-011</t>
        </is>
      </c>
      <c r="M62" s="4" t="n">
        <v>12</v>
      </c>
      <c r="N62" s="4" t="n">
        <v>0</v>
      </c>
      <c r="O62" s="4" t="inlineStr">
        <is>
          <t>GEN3 (2026-05-25): the Alpha hook — the #1 thing to validate (must resonate). Underlying diagnostic logic already exists ('all of that code exists as is'); this is the score-screen reframe [F 144128256 @01:45,@05:00].</t>
        </is>
      </c>
      <c r="P62" s="8" t="n">
        <v>46167</v>
      </c>
    </row>
    <row r="63" ht="42" customHeight="1">
      <c r="A63" s="4" t="inlineStr">
        <is>
          <t>F-058</t>
        </is>
      </c>
      <c r="B63" s="4" t="inlineStr">
        <is>
          <t>The Decision Trigger™ capture (Stage 2B)</t>
        </is>
      </c>
      <c r="C63" s="4" t="inlineStr">
        <is>
          <t>avatar_builder</t>
        </is>
      </c>
      <c r="D63" s="4" t="inlineStr">
        <is>
          <t>Dedicated screen capturing the event that made the customer act today (the photograph, the comment, the wedding). Was previously only a canvas field.</t>
        </is>
      </c>
      <c r="E63" s="4" t="inlineStr">
        <is>
          <t>Alpha</t>
        </is>
      </c>
      <c r="F63" s="4" t="inlineStr">
        <is>
          <t>P0</t>
        </is>
      </c>
      <c r="G63" s="4" t="inlineStr">
        <is>
          <t>not_started</t>
        </is>
      </c>
      <c r="H63" s="7" t="n">
        <v>0</v>
      </c>
      <c r="I63" s="4" t="inlineStr"/>
      <c r="J63" s="4" t="inlineStr">
        <is>
          <t>Matthew</t>
        </is>
      </c>
      <c r="K63" s="4" t="inlineStr">
        <is>
          <t>F-059</t>
        </is>
      </c>
      <c r="L63" s="4" t="inlineStr">
        <is>
          <t>P-001</t>
        </is>
      </c>
      <c r="M63" s="4" t="n">
        <v>16</v>
      </c>
      <c r="N63" s="4" t="n">
        <v>0</v>
      </c>
      <c r="O63" s="4" t="inlineStr">
        <is>
          <t>GEN3 (2026-05-25): blue-water line #2 vs Pixii — operates at the level of WHEN the customer is ready to act, not just who they are [F 144128256 @09:13-14:50].</t>
        </is>
      </c>
      <c r="P63" s="8" t="n">
        <v>46167</v>
      </c>
    </row>
    <row r="64" ht="42" customHeight="1">
      <c r="A64" s="4" t="inlineStr">
        <is>
          <t>F-059</t>
        </is>
      </c>
      <c r="B64" s="4" t="inlineStr">
        <is>
          <t>Bridge screen (diagnostic → avatar)</t>
        </is>
      </c>
      <c r="C64" s="4" t="inlineStr">
        <is>
          <t>conversation</t>
        </is>
      </c>
      <c r="D64" s="4" t="inlineStr">
        <is>
          <t>Two screens that quote the user's empathy score and explain why building the avatar is the next step. 'A good coach wouldn't just present a score and move on.'</t>
        </is>
      </c>
      <c r="E64" s="4" t="inlineStr">
        <is>
          <t>Alpha</t>
        </is>
      </c>
      <c r="F64" s="4" t="inlineStr">
        <is>
          <t>P0</t>
        </is>
      </c>
      <c r="G64" s="4" t="inlineStr">
        <is>
          <t>not_started</t>
        </is>
      </c>
      <c r="H64" s="7" t="n">
        <v>0</v>
      </c>
      <c r="I64" s="4" t="inlineStr"/>
      <c r="J64" s="4" t="inlineStr">
        <is>
          <t>Matthew</t>
        </is>
      </c>
      <c r="K64" s="4" t="inlineStr">
        <is>
          <t>F-057</t>
        </is>
      </c>
      <c r="L64" s="4" t="inlineStr">
        <is>
          <t>P-011</t>
        </is>
      </c>
      <c r="M64" s="4" t="n">
        <v>10</v>
      </c>
      <c r="N64" s="4" t="n">
        <v>0</v>
      </c>
      <c r="O64" s="4" t="inlineStr">
        <is>
          <t>GEN3 (2026-05-25): connective tissue that turns the Trust Gap score into momentum into the avatar build [F 144128256 @07:20].</t>
        </is>
      </c>
      <c r="P64" s="8" t="n">
        <v>46167</v>
      </c>
    </row>
    <row r="65" ht="42" customHeight="1">
      <c r="A65" s="4" t="inlineStr">
        <is>
          <t>F-060</t>
        </is>
      </c>
      <c r="B65" s="4" t="inlineStr">
        <is>
          <t>The Signature (Stage-5 output)</t>
        </is>
      </c>
      <c r="C65" s="4" t="inlineStr">
        <is>
          <t>avatar_builder</t>
        </is>
      </c>
      <c r="D65" s="4" t="inlineStr">
        <is>
          <t>One-sentence customer truth — e.g. 'My customer isn't buying shampoo; they're buying the feeling of still being in control of how they age.' The output of the research stages.</t>
        </is>
      </c>
      <c r="E65" s="4" t="inlineStr">
        <is>
          <t>Alpha</t>
        </is>
      </c>
      <c r="F65" s="4" t="inlineStr">
        <is>
          <t>P0</t>
        </is>
      </c>
      <c r="G65" s="4" t="inlineStr">
        <is>
          <t>not_started</t>
        </is>
      </c>
      <c r="H65" s="7" t="n">
        <v>0</v>
      </c>
      <c r="I65" s="4" t="inlineStr"/>
      <c r="J65" s="4" t="inlineStr">
        <is>
          <t>Matthew</t>
        </is>
      </c>
      <c r="K65" s="4" t="inlineStr">
        <is>
          <t>F-004,F-005,F-006,F-007</t>
        </is>
      </c>
      <c r="L65" s="4" t="inlineStr">
        <is>
          <t>P-001,P-002</t>
        </is>
      </c>
      <c r="M65" s="4" t="n">
        <v>20</v>
      </c>
      <c r="N65" s="4" t="n">
        <v>0</v>
      </c>
      <c r="O65" s="4" t="inlineStr">
        <is>
          <t>GEN3 (2026-05-25): THE retention / word-of-mouth moment. MVP must validate this + the Trust Gap™ Score first; everything else is downstream [Analysis 2026-05-17]. A draft Signature may surface earlier at the Draft Canvas (F-003).</t>
        </is>
      </c>
      <c r="P65" s="8" t="n">
        <v>46167</v>
      </c>
    </row>
    <row r="66" ht="42" customHeight="1">
      <c r="A66" s="4" t="inlineStr">
        <is>
          <t>F-061</t>
        </is>
      </c>
      <c r="B66" s="4" t="inlineStr">
        <is>
          <t>"Before State" emotional prompt screen</t>
        </is>
      </c>
      <c r="C66" s="4" t="inlineStr">
        <is>
          <t>avatar_builder</t>
        </is>
      </c>
      <c r="D66" s="4" t="inlineStr">
        <is>
          <t>Prompts the user to articulate the customer's emotional 'before' state as part of the avatar build.</t>
        </is>
      </c>
      <c r="E66" s="4" t="inlineStr">
        <is>
          <t>Alpha</t>
        </is>
      </c>
      <c r="F66" s="4" t="inlineStr">
        <is>
          <t>P1</t>
        </is>
      </c>
      <c r="G66" s="4" t="inlineStr">
        <is>
          <t>not_started</t>
        </is>
      </c>
      <c r="H66" s="7" t="n">
        <v>0</v>
      </c>
      <c r="I66" s="4" t="inlineStr"/>
      <c r="J66" s="4" t="inlineStr">
        <is>
          <t>Matthew</t>
        </is>
      </c>
      <c r="K66" s="4" t="inlineStr"/>
      <c r="L66" s="4" t="inlineStr">
        <is>
          <t>P-002</t>
        </is>
      </c>
      <c r="M66" s="4" t="n">
        <v>8</v>
      </c>
      <c r="N66" s="4" t="n">
        <v>0</v>
      </c>
      <c r="O66" s="4" t="inlineStr">
        <is>
          <t>GEN3 (2026-05-25): MVP ships static example text; AI-suggestion path deferred (see F-009) [F 144128256 @09:13].</t>
        </is>
      </c>
      <c r="P66" s="8" t="n">
        <v>46167</v>
      </c>
    </row>
    <row r="67" ht="42" customHeight="1">
      <c r="A67" s="4" t="inlineStr">
        <is>
          <t>F-062</t>
        </is>
      </c>
      <c r="B67" s="4" t="inlineStr">
        <is>
          <t>Decision Mode sliders</t>
        </is>
      </c>
      <c r="C67" s="4" t="inlineStr">
        <is>
          <t>avatar_builder</t>
        </is>
      </c>
      <c r="D67" s="4" t="inlineStr">
        <is>
          <t>Slider inputs for shopper type (Shopify 4 types), researcher-vs-gut, stakes, and loyalty — so users needn't type free text.</t>
        </is>
      </c>
      <c r="E67" s="4" t="inlineStr">
        <is>
          <t>Alpha</t>
        </is>
      </c>
      <c r="F67" s="4" t="inlineStr">
        <is>
          <t>P1</t>
        </is>
      </c>
      <c r="G67" s="4" t="inlineStr">
        <is>
          <t>not_started</t>
        </is>
      </c>
      <c r="H67" s="7" t="n">
        <v>0</v>
      </c>
      <c r="I67" s="4" t="inlineStr"/>
      <c r="J67" s="4" t="inlineStr">
        <is>
          <t>Matthew</t>
        </is>
      </c>
      <c r="K67" s="4" t="inlineStr"/>
      <c r="L67" s="4" t="inlineStr">
        <is>
          <t>P-002</t>
        </is>
      </c>
      <c r="M67" s="4" t="n">
        <v>14</v>
      </c>
      <c r="N67" s="4" t="n">
        <v>0</v>
      </c>
      <c r="O67" s="4" t="inlineStr">
        <is>
          <t>GEN3 (2026-05-25): lowers friction in the avatar build [F 144128256 @22:00-25:16].</t>
        </is>
      </c>
      <c r="P67" s="8" t="n">
        <v>46167</v>
      </c>
    </row>
    <row r="68" ht="42" customHeight="1">
      <c r="A68" s="4" t="inlineStr">
        <is>
          <t>F-063</t>
        </is>
      </c>
      <c r="B68" s="4" t="inlineStr">
        <is>
          <t>Review Lab (competitor + own review analysis)</t>
        </is>
      </c>
      <c r="C68" s="4" t="inlineStr">
        <is>
          <t>create_mode</t>
        </is>
      </c>
      <c r="D68" s="4" t="inlineStr">
        <is>
          <t>'Research mode' that analyses competitor and own reviews. MVP = CSV / pasted-text upload (no scraping) to de-risk; AI analysis is a paid-tier feature.</t>
        </is>
      </c>
      <c r="E68" s="4" t="inlineStr">
        <is>
          <t>Beta</t>
        </is>
      </c>
      <c r="F68" s="4" t="inlineStr">
        <is>
          <t>P1</t>
        </is>
      </c>
      <c r="G68" s="4" t="inlineStr">
        <is>
          <t>not_started</t>
        </is>
      </c>
      <c r="H68" s="7" t="n">
        <v>0</v>
      </c>
      <c r="I68" s="4" t="inlineStr"/>
      <c r="J68" s="4" t="inlineStr">
        <is>
          <t>Matthew</t>
        </is>
      </c>
      <c r="K68" s="4" t="inlineStr">
        <is>
          <t>F-019</t>
        </is>
      </c>
      <c r="L68" s="4" t="inlineStr">
        <is>
          <t>P-005</t>
        </is>
      </c>
      <c r="M68" s="4" t="n">
        <v>32</v>
      </c>
      <c r="N68" s="4" t="n">
        <v>0</v>
      </c>
      <c r="O68" s="4" t="inlineStr">
        <is>
          <t>GEN3 (2026-05-25): paid-tier AI work behind the freemium gate (F-019). MVP deliberately avoids scraping [F 144128256 @16:31-18:47].</t>
        </is>
      </c>
      <c r="P68" s="8" t="n">
        <v>46167</v>
      </c>
    </row>
    <row r="69" ht="42" customHeight="1">
      <c r="A69" s="4" t="inlineStr">
        <is>
          <t>F-064</t>
        </is>
      </c>
      <c r="B69" s="4" t="inlineStr">
        <is>
          <t>Locked-but-visible canvas fields (free tier)</t>
        </is>
      </c>
      <c r="C69" s="4" t="inlineStr">
        <is>
          <t>pay_gate</t>
        </is>
      </c>
      <c r="D69" s="4" t="inlineStr">
        <is>
          <t>Non-subscribers see canvas fields locked rather than hidden, to entice signup/upgrade.</t>
        </is>
      </c>
      <c r="E69" s="4" t="inlineStr">
        <is>
          <t>Beta</t>
        </is>
      </c>
      <c r="F69" s="4" t="inlineStr">
        <is>
          <t>P0</t>
        </is>
      </c>
      <c r="G69" s="4" t="inlineStr">
        <is>
          <t>not_started</t>
        </is>
      </c>
      <c r="H69" s="7" t="n">
        <v>0</v>
      </c>
      <c r="I69" s="4" t="inlineStr"/>
      <c r="J69" s="4" t="inlineStr">
        <is>
          <t>Matthew</t>
        </is>
      </c>
      <c r="K69" s="4" t="inlineStr">
        <is>
          <t>F-019</t>
        </is>
      </c>
      <c r="L69" s="4" t="inlineStr">
        <is>
          <t>P-012</t>
        </is>
      </c>
      <c r="M69" s="4" t="n">
        <v>16</v>
      </c>
      <c r="N69" s="4" t="n">
        <v>0</v>
      </c>
      <c r="O69" s="4" t="inlineStr">
        <is>
          <t>GEN3 (2026-05-25): core freemium conversion mechanic [F 144128256 @28:50-32:01].</t>
        </is>
      </c>
      <c r="P69" s="8" t="n">
        <v>46167</v>
      </c>
    </row>
    <row r="70" ht="42" customHeight="1">
      <c r="A70" s="4" t="inlineStr">
        <is>
          <t>F-065</t>
        </is>
      </c>
      <c r="B70" s="4" t="inlineStr">
        <is>
          <t>"Skip avatar" / self-populate path</t>
        </is>
      </c>
      <c r="C70" s="4" t="inlineStr">
        <is>
          <t>canvas</t>
        </is>
      </c>
      <c r="D70" s="4" t="inlineStr">
        <is>
          <t>Lets a user skip the avatar build and self-populate the canvas, with an 'avatar not complete' reminder.</t>
        </is>
      </c>
      <c r="E70" s="4" t="inlineStr">
        <is>
          <t>Beta</t>
        </is>
      </c>
      <c r="F70" s="4" t="inlineStr">
        <is>
          <t>P2</t>
        </is>
      </c>
      <c r="G70" s="4" t="inlineStr">
        <is>
          <t>not_started</t>
        </is>
      </c>
      <c r="H70" s="7" t="n">
        <v>0</v>
      </c>
      <c r="I70" s="4" t="inlineStr"/>
      <c r="J70" s="4" t="inlineStr">
        <is>
          <t>Matthew</t>
        </is>
      </c>
      <c r="K70" s="4" t="inlineStr"/>
      <c r="L70" s="4" t="inlineStr"/>
      <c r="M70" s="4" t="n">
        <v>10</v>
      </c>
      <c r="N70" s="4" t="n">
        <v>0</v>
      </c>
      <c r="O70" s="4" t="inlineStr">
        <is>
          <t>GEN3 (2026-05-25): Matthew ambivalent — keep loosely scoped [F 144128256 @29:22].</t>
        </is>
      </c>
      <c r="P70" s="8" t="n">
        <v>46167</v>
      </c>
    </row>
    <row r="71" ht="42" customHeight="1">
      <c r="A71" s="4" t="inlineStr">
        <is>
          <t>F-066</t>
        </is>
      </c>
      <c r="B71" s="4" t="inlineStr">
        <is>
          <t>Landing-page A/B split test (ProductPinion)</t>
        </is>
      </c>
      <c r="C71" s="4" t="inlineStr">
        <is>
          <t>analytics</t>
        </is>
      </c>
      <c r="D71" s="4" t="inlineStr">
        <is>
          <t>Split-test V1 (ChatGPT-built, polished) vs V2 (Claude-built, simpler) landing pages.</t>
        </is>
      </c>
      <c r="E71" s="4" t="inlineStr">
        <is>
          <t>Alpha</t>
        </is>
      </c>
      <c r="F71" s="4" t="inlineStr">
        <is>
          <t>P1</t>
        </is>
      </c>
      <c r="G71" s="4" t="inlineStr">
        <is>
          <t>not_started</t>
        </is>
      </c>
      <c r="H71" s="7" t="n">
        <v>0</v>
      </c>
      <c r="I71" s="4" t="inlineStr"/>
      <c r="J71" s="4" t="inlineStr">
        <is>
          <t>Matthew</t>
        </is>
      </c>
      <c r="K71" s="4" t="inlineStr">
        <is>
          <t>F-067</t>
        </is>
      </c>
      <c r="L71" s="4" t="inlineStr"/>
      <c r="M71" s="4" t="n">
        <v>12</v>
      </c>
      <c r="N71" s="4" t="n">
        <v>0</v>
      </c>
      <c r="O71" s="4" t="inlineStr">
        <is>
          <t>GEN3 (2026-05-25): confirm ProductPinion supports landing-page split testing (R-019); else build scaffolding [F 140678453 @29:25-34:09].</t>
        </is>
      </c>
      <c r="P71" s="8" t="n">
        <v>46167</v>
      </c>
    </row>
    <row r="72" ht="42" customHeight="1">
      <c r="A72" s="4" t="inlineStr">
        <is>
          <t>F-067</t>
        </is>
      </c>
      <c r="B72" s="4" t="inlineStr">
        <is>
          <t>Marketing site on ideabrandcoach.com (same codebase/DB)</t>
        </is>
      </c>
      <c r="C72" s="4" t="inlineStr">
        <is>
          <t>infrastructure</t>
        </is>
      </c>
      <c r="D72" s="4" t="inlineStr">
        <is>
          <t>Public marketing site; app gated, revealing feature sets as they become beta-ready. Same codebase/DB initially.</t>
        </is>
      </c>
      <c r="E72" s="4" t="inlineStr">
        <is>
          <t>Alpha</t>
        </is>
      </c>
      <c r="F72" s="4" t="inlineStr">
        <is>
          <t>P0</t>
        </is>
      </c>
      <c r="G72" s="4" t="inlineStr">
        <is>
          <t>not_started</t>
        </is>
      </c>
      <c r="H72" s="7" t="n">
        <v>0</v>
      </c>
      <c r="I72" s="4" t="inlineStr"/>
      <c r="J72" s="4" t="inlineStr">
        <is>
          <t>Matthew</t>
        </is>
      </c>
      <c r="K72" s="4" t="inlineStr"/>
      <c r="L72" s="4" t="inlineStr"/>
      <c r="M72" s="4" t="n">
        <v>24</v>
      </c>
      <c r="N72" s="4" t="n">
        <v>0</v>
      </c>
      <c r="O72" s="4" t="inlineStr">
        <is>
          <t>GEN3 (2026-05-25): old consultancy site expires June. Trevor owns this track in Lovable (split-dev, F-052) [F 140691318 @00:19,@00:42].</t>
        </is>
      </c>
      <c r="P72" s="8" t="n">
        <v>46167</v>
      </c>
    </row>
  </sheetData>
  <mergeCells count="1">
    <mergeCell ref="A1:P1"/>
  </mergeCells>
  <conditionalFormatting sqref="G3:G272">
    <cfRule type="cellIs" priority="1" operator="equal" dxfId="2">
      <formula>"complete"</formula>
    </cfRule>
    <cfRule type="cellIs" priority="2" operator="equal" dxfId="4">
      <formula>"in_review"</formula>
    </cfRule>
    <cfRule type="cellIs" priority="3" operator="equal" dxfId="1">
      <formula>"in_progress"</formula>
    </cfRule>
    <cfRule type="cellIs" priority="4" operator="equal" dxfId="0">
      <formula>"blocked"</formula>
    </cfRule>
    <cfRule type="cellIs" priority="5" operator="equal" dxfId="3">
      <formula>"not_started"</formula>
    </cfRule>
  </conditionalFormatting>
  <dataValidations count="4">
    <dataValidation sqref="C3:C272" showDropDown="0" showInputMessage="0" showErrorMessage="0" allowBlank="1" errorTitle="Invalid entry" error="Value must match one of the allowed options." type="list">
      <formula1>"conversation,avatar_builder,canvas,create_mode,coach_mode,pay_gate,export,accounts,asset_tracking,feedback_loop,analytics,infrastructure,design_system"</formula1>
    </dataValidation>
    <dataValidation sqref="E3:E272" showDropDown="0" showInputMessage="0" showErrorMessage="0" allowBlank="1" errorTitle="Invalid entry" error="Value must match one of the allowed options." type="list">
      <formula1>"Alpha,Beta,GA,Post-GA"</formula1>
    </dataValidation>
    <dataValidation sqref="F3:F272" showDropDown="0" showInputMessage="0" showErrorMessage="0" allowBlank="1" errorTitle="Invalid entry" error="Value must match one of the allowed options." type="list">
      <formula1>"P0,P1,P2"</formula1>
    </dataValidation>
    <dataValidation sqref="G3:G272" showDropDown="0" showInputMessage="0" showErrorMessage="0" allowBlank="1" errorTitle="Invalid entry" error="Value must match one of the allowed options." type="list">
      <formula1>"not_started,in_progress,blocked,in_review,complete"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50" customWidth="1" min="4" max="4"/>
    <col width="50" customWidth="1" min="5" max="5"/>
    <col width="14" customWidth="1" min="6" max="6"/>
    <col width="9" customWidth="1" min="7" max="7"/>
    <col width="10" customWidth="1" min="8" max="8"/>
    <col width="10" customWidth="1" min="9" max="9"/>
    <col width="28" customWidth="1" min="10" max="10"/>
    <col width="38" customWidth="1" min="11" max="11"/>
  </cols>
  <sheetData>
    <row r="1" ht="32" customHeight="1">
      <c r="A1" s="1" t="inlineStr">
        <is>
          <t>Sub-features — shippable units per feature</t>
        </is>
      </c>
    </row>
    <row r="2" ht="28" customHeight="1">
      <c r="A2" s="3" t="inlineStr">
        <is>
          <t>subfeature_id</t>
        </is>
      </c>
      <c r="B2" s="3" t="inlineStr">
        <is>
          <t>parent_feature_id</t>
        </is>
      </c>
      <c r="C2" s="3" t="inlineStr">
        <is>
          <t>subfeature_name</t>
        </is>
      </c>
      <c r="D2" s="3" t="inlineStr">
        <is>
          <t>description</t>
        </is>
      </c>
      <c r="E2" s="3" t="inlineStr">
        <is>
          <t>acceptance_criteria</t>
        </is>
      </c>
      <c r="F2" s="3" t="inlineStr">
        <is>
          <t>status</t>
        </is>
      </c>
      <c r="G2" s="3" t="inlineStr">
        <is>
          <t>percent_complete</t>
        </is>
      </c>
      <c r="H2" s="3" t="inlineStr">
        <is>
          <t>effort_estimate_hours</t>
        </is>
      </c>
      <c r="I2" s="3" t="inlineStr">
        <is>
          <t>actual_hours</t>
        </is>
      </c>
      <c r="J2" s="3" t="inlineStr">
        <is>
          <t>blocker</t>
        </is>
      </c>
      <c r="K2" s="3" t="inlineStr">
        <is>
          <t>notes</t>
        </is>
      </c>
    </row>
    <row r="3" ht="42" customHeight="1">
      <c r="A3" s="4" t="inlineStr">
        <is>
          <t>F-001.1</t>
        </is>
      </c>
      <c r="B3" s="4" t="inlineStr">
        <is>
          <t>F-001</t>
        </is>
      </c>
      <c r="C3" s="4" t="inlineStr">
        <is>
          <t>10-question script in Trevor's voice</t>
        </is>
      </c>
      <c r="D3" s="4" t="inlineStr">
        <is>
          <t>Source the 10 Layer 1 questions and Trevor-voice phrasing from IDEA_KNOWLEDGE.md.</t>
        </is>
      </c>
      <c r="E3" s="4" t="inlineStr">
        <is>
          <t>All 10 questions stored in prompt config and rendered in order; Trevor reviews sample transcript.</t>
        </is>
      </c>
      <c r="F3" s="4" t="inlineStr">
        <is>
          <t>not_started</t>
        </is>
      </c>
      <c r="G3" s="7" t="n">
        <v>5</v>
      </c>
      <c r="H3" s="4" t="n">
        <v>8</v>
      </c>
      <c r="I3" s="4" t="n">
        <v>0</v>
      </c>
      <c r="J3" s="4" t="inlineStr"/>
      <c r="K3" s="4" t="inlineStr">
        <is>
          <t>Trevor persona prompt exists (idea-framework-consultant-claude/prompt.ts) and FIELD_QUESTIONS bank has 110 candidates (src/config/fieldQuestions.ts), but no 10-question script, no fixed rendering order, getFieldQuestion() is dead code.</t>
        </is>
      </c>
    </row>
    <row r="4" ht="42" customHeight="1">
      <c r="A4" s="4" t="inlineStr">
        <is>
          <t>F-001.2</t>
        </is>
      </c>
      <c r="B4" s="4" t="inlineStr">
        <is>
          <t>F-001</t>
        </is>
      </c>
      <c r="C4" s="4" t="inlineStr">
        <is>
          <t>Fallback responses for empty / off-topic input</t>
        </is>
      </c>
      <c r="D4" s="4" t="inlineStr">
        <is>
          <t>When the user's reply doesn't extract a field, surface a Trevor-voice nudge instead of restating the question.</t>
        </is>
      </c>
      <c r="E4" s="4" t="inlineStr">
        <is>
          <t>Off-topic input triggers fallback string; fallbacks vary by question; no robotic 'Please answer the question.'</t>
        </is>
      </c>
      <c r="F4" s="4" t="inlineStr">
        <is>
          <t>not_started</t>
        </is>
      </c>
      <c r="G4" s="7" t="n">
        <v>10</v>
      </c>
      <c r="H4" s="4" t="n">
        <v>6</v>
      </c>
      <c r="I4" s="4" t="n">
        <v>0</v>
      </c>
      <c r="J4" s="4" t="inlineStr"/>
      <c r="K4" s="4" t="inlineStr">
        <is>
          <t>Two empty-response fallbacks exist (edge function stream.ts:129-137 + ChatService:166-173) but they trigger on 'no text', not off-topic. No per-question fallback variation, no Trevor-voice phrasing.</t>
        </is>
      </c>
    </row>
    <row r="5" ht="42" customHeight="1">
      <c r="A5" s="4" t="inlineStr">
        <is>
          <t>F-001.3</t>
        </is>
      </c>
      <c r="B5" s="4" t="inlineStr">
        <is>
          <t>F-001</t>
        </is>
      </c>
      <c r="C5" s="4" t="inlineStr">
        <is>
          <t>Conversation state persistence</t>
        </is>
      </c>
      <c r="D5" s="4" t="inlineStr">
        <is>
          <t>Layer 1 progress persists across reload via existing FieldSyncService.</t>
        </is>
      </c>
      <c r="E5" s="4" t="inlineStr">
        <is>
          <t>Refreshing mid-conversation resumes at the last unanswered question with prior answers visible.</t>
        </is>
      </c>
      <c r="F5" s="4" t="inlineStr">
        <is>
          <t>in_progress</t>
        </is>
      </c>
      <c r="G5" s="7" t="n">
        <v>70</v>
      </c>
      <c r="H5" s="4" t="n">
        <v>6</v>
      </c>
      <c r="I5" s="4" t="n">
        <v>0</v>
      </c>
      <c r="J5" s="4" t="inlineStr"/>
      <c r="K5" s="4" t="inlineStr">
        <is>
          <t>Session + message + chapter-progress persistence all work and survive refresh (useChatSessions, useChat, useChapterProgress); missing piece is an explicit 'last unanswered question' pointer (free-form conversation has no scripted position to resume to).</t>
        </is>
      </c>
    </row>
    <row r="6" ht="42" customHeight="1">
      <c r="A6" s="4" t="inlineStr">
        <is>
          <t>F-001.4</t>
        </is>
      </c>
      <c r="B6" s="4" t="inlineStr">
        <is>
          <t>F-001</t>
        </is>
      </c>
      <c r="C6" s="4" t="inlineStr">
        <is>
          <t>Streaming response rendering</t>
        </is>
      </c>
      <c r="D6" s="4" t="inlineStr">
        <is>
          <t>Assistant replies stream token-by-token via SSE.</t>
        </is>
      </c>
      <c r="E6" s="4" t="inlineStr">
        <is>
          <t>User sees streaming text within 500ms of submit; SSE error states render a Trevor-voice fallback.</t>
        </is>
      </c>
      <c r="F6" s="4" t="inlineStr">
        <is>
          <t>in_progress</t>
        </is>
      </c>
      <c r="G6" s="7" t="n">
        <v>65</v>
      </c>
      <c r="H6" s="4" t="n">
        <v>8</v>
      </c>
      <c r="I6" s="4" t="n">
        <v>0</v>
      </c>
      <c r="J6" s="4" t="inlineStr"/>
      <c r="K6" s="4" t="inlineStr">
        <is>
          <t>Streaming pipeline (edge SSE → ChatStreamParser → React state → ChatMessageList) is wired end-to-end and works; SSE-error-to-Trevor-voice fallback NOT met (errors render as generic destructive toast). No &lt;500ms latency assertion.</t>
        </is>
      </c>
    </row>
    <row r="7" ht="42" customHeight="1">
      <c r="A7" s="4" t="inlineStr">
        <is>
          <t>F-001.5</t>
        </is>
      </c>
      <c r="B7" s="4" t="inlineStr">
        <is>
          <t>F-001</t>
        </is>
      </c>
      <c r="C7" s="4" t="inlineStr">
        <is>
          <t>Mobile keyboard / viewport handling</t>
        </is>
      </c>
      <c r="D7" s="4" t="inlineStr">
        <is>
          <t>Conversation UI works on mobile without keyboard-induced layout breaks.</t>
        </is>
      </c>
      <c r="E7" s="4" t="inlineStr">
        <is>
          <t>iOS Safari and Android Chrome both render correctly with keyboard open; input stays visible.</t>
        </is>
      </c>
      <c r="F7" s="4" t="inlineStr">
        <is>
          <t>in_progress</t>
        </is>
      </c>
      <c r="G7" s="7" t="n">
        <v>25</v>
      </c>
      <c r="H7" s="4" t="n">
        <v>6</v>
      </c>
      <c r="I7" s="4" t="n">
        <v>0</v>
      </c>
      <c r="J7" s="4" t="inlineStr"/>
      <c r="K7" s="4" t="inlineStr">
        <is>
          <t>Basic mobile-friendly touch targets, pb-safe padding, and 16px font (avoids iOS zoom) in ChatInputBar; missing VisualViewport API usage, keyboard-show scroll-into-view, and no cross-device validation.</t>
        </is>
      </c>
    </row>
    <row r="8" ht="42" customHeight="1">
      <c r="A8" s="4" t="inlineStr">
        <is>
          <t>F-002.1</t>
        </is>
      </c>
      <c r="B8" s="4" t="inlineStr">
        <is>
          <t>F-002</t>
        </is>
      </c>
      <c r="C8" s="4" t="inlineStr">
        <is>
          <t>Subscribe sidebar to field extraction events</t>
        </is>
      </c>
      <c r="D8" s="4" t="inlineStr">
        <is>
          <t>Sidebar listens for new/updated field extractions and rerenders affected cards.</t>
        </is>
      </c>
      <c r="E8" s="4" t="inlineStr">
        <is>
          <t>Extracting a field during conversation updates the corresponding sidebar card within 1s.</t>
        </is>
      </c>
      <c r="F8" s="4" t="inlineStr">
        <is>
          <t>in_progress</t>
        </is>
      </c>
      <c r="G8" s="7" t="n">
        <v>80</v>
      </c>
      <c r="H8" s="4" t="n">
        <v>8</v>
      </c>
      <c r="I8" s="4" t="n">
        <v>0</v>
      </c>
      <c r="J8" s="4" t="inlineStr"/>
      <c r="K8" s="4" t="inlineStr">
        <is>
          <t>Field-extraction events flow edge SSE → useChat → useFieldExtractionOrchestrator → ChapterSectionAccordion (auto-expands affected chapter, surfaces pending ghost values); behaviour-complete but no latency test and applied via 'pending ghost' rather than direct write.</t>
        </is>
      </c>
    </row>
    <row r="9" ht="42" customHeight="1">
      <c r="A9" s="4" t="inlineStr">
        <is>
          <t>F-002.2</t>
        </is>
      </c>
      <c r="B9" s="4" t="inlineStr">
        <is>
          <t>F-002</t>
        </is>
      </c>
      <c r="C9" s="4" t="inlineStr">
        <is>
          <t>Confidence-score badges on sidebar fields</t>
        </is>
      </c>
      <c r="D9" s="4" t="inlineStr">
        <is>
          <t>Each populated sidebar field shows the quality / confidence badge (already shipped for V2 — port to Layer 1).</t>
        </is>
      </c>
      <c r="E9" s="4" t="inlineStr">
        <is>
          <t>Low-confidence fields show amber badge; high-confidence shows green; matches existing badge design.</t>
        </is>
      </c>
      <c r="F9" s="4" t="inlineStr">
        <is>
          <t>in_progress</t>
        </is>
      </c>
      <c r="G9" s="7" t="n">
        <v>75</v>
      </c>
      <c r="H9" s="4" t="n">
        <v>4</v>
      </c>
      <c r="I9" s="4" t="n">
        <v>4</v>
      </c>
      <c r="J9" s="4" t="inlineStr"/>
      <c r="K9" s="4" t="inlineStr">
        <is>
          <t>Quality badges render with tiered colors on sidebar fields (ChapterFieldSet:112-135), but they reflect value-quality heuristics (fieldQualityScore.ts word-count/specificity) rather than the AI extraction confidence score — acceptance criterion 'low-confidence amber, high-confidence green from extractor confidence' is not literally met.</t>
        </is>
      </c>
    </row>
    <row r="10" ht="42" customHeight="1">
      <c r="A10" s="4" t="inlineStr">
        <is>
          <t>F-002.3</t>
        </is>
      </c>
      <c r="B10" s="4" t="inlineStr">
        <is>
          <t>F-002</t>
        </is>
      </c>
      <c r="C10" s="4" t="inlineStr">
        <is>
          <t>Sidebar collapse / expand on mobile</t>
        </is>
      </c>
      <c r="D10" s="4" t="inlineStr">
        <is>
          <t>Mobile users can collapse sidebar to focus on conversation.</t>
        </is>
      </c>
      <c r="E10" s="4" t="inlineStr">
        <is>
          <t>Hamburger toggle hides sidebar; state persists across navigation.</t>
        </is>
      </c>
      <c r="F10" s="4" t="inlineStr">
        <is>
          <t>in_progress</t>
        </is>
      </c>
      <c r="G10" s="7" t="n">
        <v>40</v>
      </c>
      <c r="H10" s="4" t="n">
        <v>4</v>
      </c>
      <c r="I10" s="4" t="n">
        <v>0</v>
      </c>
      <c r="J10" s="4" t="inlineStr"/>
      <c r="K10" s="4" t="inlineStr">
        <is>
          <t>Mobile sheet overlay for chapter panel works (TwoPanelTemplate:129-141 + BookOpen-icon toggle); state is in-memory only (useState in useBrandCoachV2State), does not persist across navigation; trigger is BookOpen icon, not hamburger.</t>
        </is>
      </c>
    </row>
    <row r="11" ht="42" customHeight="1">
      <c r="A11" s="4" t="inlineStr">
        <is>
          <t>F-003.1</t>
        </is>
      </c>
      <c r="B11" s="4" t="inlineStr">
        <is>
          <t>F-003</t>
        </is>
      </c>
      <c r="C11" s="4" t="inlineStr">
        <is>
          <t>DRAFT badge component</t>
        </is>
      </c>
      <c r="D11" s="4" t="inlineStr">
        <is>
          <t>Visual badge on Draft Canvas distinguishing it from Forensic Canvas.</t>
        </is>
      </c>
      <c r="E11" s="4" t="inlineStr">
        <is>
          <t>Badge visible above-fold on canvas page; uses gold / amber tone from design tokens.</t>
        </is>
      </c>
      <c r="F11" s="4" t="inlineStr">
        <is>
          <t>not_started</t>
        </is>
      </c>
      <c r="G11" s="7" t="n">
        <v>0</v>
      </c>
      <c r="H11" s="4" t="n">
        <v>4</v>
      </c>
      <c r="I11" s="4" t="n">
        <v>0</v>
      </c>
      <c r="J11" s="4" t="inlineStr"/>
      <c r="K11" s="4" t="inlineStr">
        <is>
          <t>No DRAFT badge component. Tier distinction is conceptual only — grep across src/ + edge functions for 'DRAFT'/'tier'/'forensic' returns ~zero structural hits. Gold/amber tokens exist (hsl(var(--gold-warm))) as mount-ready primitives.</t>
        </is>
      </c>
    </row>
    <row r="12" ht="42" customHeight="1">
      <c r="A12" s="4" t="inlineStr">
        <is>
          <t>F-003.2</t>
        </is>
      </c>
      <c r="B12" s="4" t="inlineStr">
        <is>
          <t>F-003</t>
        </is>
      </c>
      <c r="C12" s="4" t="inlineStr">
        <is>
          <t>Synthesis edge function with Trevor prompt</t>
        </is>
      </c>
      <c r="D12" s="4" t="inlineStr">
        <is>
          <t>canvas-synthesis edge function takes Layer 1 transcript + extracted fields, returns Draft Canvas JSON.</t>
        </is>
      </c>
      <c r="E12" s="4" t="inlineStr">
        <is>
          <t>Returns all Draft-tier fields populated; fields with low confidence flagged; latency &lt;8s.</t>
        </is>
      </c>
      <c r="F12" s="4" t="inlineStr">
        <is>
          <t>in_progress</t>
        </is>
      </c>
      <c r="G12" s="7" t="n">
        <v>55</v>
      </c>
      <c r="H12" s="4" t="n">
        <v>12</v>
      </c>
      <c r="I12" s="4" t="n">
        <v>0</v>
      </c>
      <c r="J12" s="4" t="inlineStr"/>
      <c r="K12" s="4" t="inlineStr">
        <is>
          <t>Per-section synthesis with Trevor voice (generate-brand-strategy-section + voice.ts TREVOR_VOICE_DIRECTIVE on Haiku) exists but generates the full document — no Draft-tier subset, no low-confidence flagging, no &lt;8s latency guarantee. Reusable as Draft once a tier filter is added.</t>
        </is>
      </c>
    </row>
    <row r="13" ht="42" customHeight="1">
      <c r="A13" s="4" t="inlineStr">
        <is>
          <t>F-003.3</t>
        </is>
      </c>
      <c r="B13" s="4" t="inlineStr">
        <is>
          <t>F-003</t>
        </is>
      </c>
      <c r="C13" s="4" t="inlineStr">
        <is>
          <t>Forensic upgrade CTA</t>
        </is>
      </c>
      <c r="D13" s="4" t="inlineStr">
        <is>
          <t>Draft Canvas surfaces a prominent CTA inviting user into the Avatar Builder.</t>
        </is>
      </c>
      <c r="E13" s="4" t="inlineStr">
        <is>
          <t>CTA visible in canvas top-bar AND inline after the most synthesis-light section.</t>
        </is>
      </c>
      <c r="F13" s="4" t="inlineStr">
        <is>
          <t>not_started</t>
        </is>
      </c>
      <c r="G13" s="7" t="n">
        <v>0</v>
      </c>
      <c r="H13" s="4" t="n">
        <v>4</v>
      </c>
      <c r="I13" s="4" t="n">
        <v>0</v>
      </c>
      <c r="J13" s="4" t="inlineStr"/>
      <c r="K13" s="4" t="inlineStr">
        <is>
          <t>No Forensic upgrade CTA anywhere. BrandCoachHeader and inline section locations exist as natural mount points; 'upgrade' string returns no matches in BrandCanvas.tsx/BrandCoachV2.tsx.</t>
        </is>
      </c>
    </row>
    <row r="14" ht="42" customHeight="1">
      <c r="A14" s="4" t="inlineStr">
        <is>
          <t>F-003.4</t>
        </is>
      </c>
      <c r="B14" s="4" t="inlineStr">
        <is>
          <t>F-003</t>
        </is>
      </c>
      <c r="C14" s="4" t="inlineStr">
        <is>
          <t>Coherence pass</t>
        </is>
      </c>
      <c r="D14" s="4" t="inlineStr">
        <is>
          <t>Synthesis avoids contradictions between fields (e.g., aspirational language in one field vs jaded in another).</t>
        </is>
      </c>
      <c r="E14" s="4" t="inlineStr">
        <is>
          <t>Manual review of 5 sample draft canvases shows no contradictions; Trevor signs off.</t>
        </is>
      </c>
      <c r="F14" s="4" t="inlineStr">
        <is>
          <t>not_started</t>
        </is>
      </c>
      <c r="G14" s="7" t="n">
        <v>0</v>
      </c>
      <c r="H14" s="4" t="n">
        <v>4</v>
      </c>
      <c r="I14" s="4" t="n">
        <v>0</v>
      </c>
      <c r="J14" s="4" t="inlineStr"/>
      <c r="K14" s="4" t="inlineStr">
        <is>
          <t>Blocked on F-003.1/F-003.2 producing a distinct Draft output to review. Trevor sign-off process not documented in repo.</t>
        </is>
      </c>
    </row>
    <row r="15" ht="42" customHeight="1">
      <c r="A15" s="4" t="inlineStr">
        <is>
          <t>F-004.1</t>
        </is>
      </c>
      <c r="B15" s="4" t="inlineStr">
        <is>
          <t>F-004</t>
        </is>
      </c>
      <c r="C15" s="4" t="inlineStr">
        <is>
          <t>Field schema for Psychographic Profile</t>
        </is>
      </c>
      <c r="D15" s="4" t="inlineStr">
        <is>
          <t>Define the field set from Gen 3 spec (values, identity, worldview, lifestyle).</t>
        </is>
      </c>
      <c r="E15" s="4" t="inlineStr">
        <is>
          <t>Schema documented and reviewed against Gen 3 brief; types defined in TypeScript.</t>
        </is>
      </c>
      <c r="F15" s="4" t="inlineStr">
        <is>
          <t>in_progress</t>
        </is>
      </c>
      <c r="G15" s="7" t="n">
        <v>60</v>
      </c>
      <c r="H15" s="4" t="n">
        <v>4</v>
      </c>
      <c r="I15" s="4" t="n">
        <v>0</v>
      </c>
      <c r="J15" s="4" t="inlineStr"/>
      <c r="K15" s="4" t="inlineStr">
        <is>
          <t>TypeScript schema (AvatarPsychographics in src/types/avatar.ts) matches Gen 3 (values/fears/desires/triggers arrays) and persists via avatars table JSONB column. BUT: V2 chapter UI (CUSTOMER_AVATAR chapter in chapterFields.ts:176-220) flattens into two coarse textareas; Avatar 2.0 five-field discrete schema (skills/04-avatar-five-fields.md) NOT modelled as typed fields.</t>
        </is>
      </c>
    </row>
    <row r="16" ht="42" customHeight="1">
      <c r="A16" s="4" t="inlineStr">
        <is>
          <t>F-004.2</t>
        </is>
      </c>
      <c r="B16" s="4" t="inlineStr">
        <is>
          <t>F-004</t>
        </is>
      </c>
      <c r="C16" s="4" t="inlineStr">
        <is>
          <t>Section UI with progressive disclosure</t>
        </is>
      </c>
      <c r="D16" s="4" t="inlineStr">
        <is>
          <t>Section renders one cluster at a time, expanding as the user advances.</t>
        </is>
      </c>
      <c r="E16" s="4" t="inlineStr">
        <is>
          <t>User sees no more than ~4 fields at once on mobile.</t>
        </is>
      </c>
      <c r="F16" s="4" t="inlineStr">
        <is>
          <t>in_progress</t>
        </is>
      </c>
      <c r="G16" s="7" t="n">
        <v>70</v>
      </c>
      <c r="H16" s="4" t="n">
        <v>12</v>
      </c>
      <c r="I16" s="4" t="n">
        <v>0</v>
      </c>
      <c r="J16" s="4" t="inlineStr"/>
      <c r="K16" s="4" t="inlineStr">
        <is>
          <t>Accordion delivers '&lt;=4 fields at once on mobile' (ChapterSectionAccordion:241-289 + active-chapter-only-open pattern; mobile Sheet via TwoPanelTemplate). Progressive disclosure is at chapter level, not Gen 3 sub-section level.</t>
        </is>
      </c>
    </row>
    <row r="17" ht="42" customHeight="1">
      <c r="A17" s="4" t="inlineStr">
        <is>
          <t>F-004.3</t>
        </is>
      </c>
      <c r="B17" s="4" t="inlineStr">
        <is>
          <t>F-004</t>
        </is>
      </c>
      <c r="C17" s="4" t="inlineStr">
        <is>
          <t>AI assistance modes wired</t>
        </is>
      </c>
      <c r="D17" s="4" t="inlineStr">
        <is>
          <t>Each field supports the four AI assistance modes from F-009.</t>
        </is>
      </c>
      <c r="E17" s="4" t="inlineStr">
        <is>
          <t>All four mode buttons present per field; each routes to the right edge function.</t>
        </is>
      </c>
      <c r="F17" s="4" t="inlineStr">
        <is>
          <t>in_progress</t>
        </is>
      </c>
      <c r="G17" s="7" t="n">
        <v>35</v>
      </c>
      <c r="H17" s="4" t="n">
        <v>8</v>
      </c>
      <c r="I17" s="4" t="n">
        <v>0</v>
      </c>
      <c r="J17" s="4" t="inlineStr"/>
      <c r="K17" s="4" t="inlineStr">
        <is>
          <t>Three of four AI modes exist as shared infra (ghost text via GhostTextFieldWrapper; review modal via AdaptiveFieldReview; chat-extracted badges via FieldExtractionBadges). The fourth (FieldChatButton used in V1 AvatarBuilder) is NOT integrated into V2 ChapterFieldSet.</t>
        </is>
      </c>
    </row>
    <row r="18" ht="42" customHeight="1">
      <c r="A18" s="4" t="inlineStr">
        <is>
          <t>F-004.4</t>
        </is>
      </c>
      <c r="B18" s="4" t="inlineStr">
        <is>
          <t>F-004</t>
        </is>
      </c>
      <c r="C18" s="4" t="inlineStr">
        <is>
          <t>Persistence and resume</t>
        </is>
      </c>
      <c r="D18" s="4" t="inlineStr">
        <is>
          <t>Section state persists via FieldSyncService and resumes on reload.</t>
        </is>
      </c>
      <c r="E18" s="4" t="inlineStr">
        <is>
          <t>Closing browser mid-section and reopening restores all entered values.</t>
        </is>
      </c>
      <c r="F18" s="4" t="inlineStr">
        <is>
          <t>complete</t>
        </is>
      </c>
      <c r="G18" s="7" t="n">
        <v>90</v>
      </c>
      <c r="H18" s="4" t="n">
        <v>4</v>
      </c>
      <c r="I18" s="4" t="n">
        <v>0</v>
      </c>
      <c r="J18" s="4" t="inlineStr"/>
      <c r="K18" s="4" t="inlineStr">
        <is>
          <t>Persistence + resume via FieldPersistenceService + localStorage + realtime subscription (useFieldExtraction:104-449). Tested in src/hooks/__tests__/useFieldExtraction.test.tsx.</t>
        </is>
      </c>
    </row>
    <row r="19" ht="42" customHeight="1">
      <c r="A19" s="4" t="inlineStr">
        <is>
          <t>F-004.5</t>
        </is>
      </c>
      <c r="B19" s="4" t="inlineStr">
        <is>
          <t>F-004</t>
        </is>
      </c>
      <c r="C19" s="4" t="inlineStr">
        <is>
          <t>Completion gate to next section</t>
        </is>
      </c>
      <c r="D19" s="4" t="inlineStr">
        <is>
          <t>User can advance to Section 2 once Section 1 is in a valid state (not necessarily 100% — Trevor wants flow, not gates).</t>
        </is>
      </c>
      <c r="E19" s="4" t="inlineStr">
        <is>
          <t>Advance button enables when required-minimum fields are filled; soft prompt for empty optional fields.</t>
        </is>
      </c>
      <c r="F19" s="4" t="inlineStr">
        <is>
          <t>in_progress</t>
        </is>
      </c>
      <c r="G19" s="7" t="n">
        <v>55</v>
      </c>
      <c r="H19" s="4" t="n">
        <v>4</v>
      </c>
      <c r="I19" s="4" t="n">
        <v>0</v>
      </c>
      <c r="J19" s="4" t="inlineStr"/>
      <c r="K19" s="4" t="inlineStr">
        <is>
          <t>Validation logic in useChapterProceeding (58-131): all-required-fields check, auto-accept pending ghost text, flash first empty field. BUT: button surface not mounted in BrandCoachV2.tsx render tree. 'Required-minimum' enforcement is all-required, not Gen 3 minimum-subset.</t>
        </is>
      </c>
    </row>
    <row r="20" ht="42" customHeight="1">
      <c r="A20" s="4" t="inlineStr">
        <is>
          <t>F-005.1</t>
        </is>
      </c>
      <c r="B20" s="4" t="inlineStr">
        <is>
          <t>F-005</t>
        </is>
      </c>
      <c r="C20" s="4" t="inlineStr">
        <is>
          <t>Field schema for Buying Behaviour</t>
        </is>
      </c>
      <c r="D20" s="4" t="inlineStr">
        <is>
          <t>Define fields: purchase triggers, objections, decision criteria, channels, price sensitivity.</t>
        </is>
      </c>
      <c r="E20" s="4" t="inlineStr">
        <is>
          <t>Schema documented; matches Gen 3 brief.</t>
        </is>
      </c>
      <c r="F20" s="4" t="inlineStr">
        <is>
          <t>in_progress</t>
        </is>
      </c>
      <c r="G20" s="7" t="n">
        <v>55</v>
      </c>
      <c r="H20" s="4" t="n">
        <v>4</v>
      </c>
      <c r="I20" s="4" t="n">
        <v>0</v>
      </c>
      <c r="J20" s="4" t="inlineStr"/>
      <c r="K20" s="4" t="inlineStr">
        <is>
          <t>AvatarBuyingBehavior type (src/types/avatar.ts:48-60) with persistence exists. BUT: V2 chapter map has no dedicated 'Buying Behaviour' chapter — closest is BUYER_INTENT which is conceptually buyer-intent not buying-behavior. Shopper Type taxonomy (skills/04) not codified.</t>
        </is>
      </c>
    </row>
    <row r="21" ht="42" customHeight="1">
      <c r="A21" s="4" t="inlineStr">
        <is>
          <t>F-005.2</t>
        </is>
      </c>
      <c r="B21" s="4" t="inlineStr">
        <is>
          <t>F-005</t>
        </is>
      </c>
      <c r="C21" s="4" t="inlineStr">
        <is>
          <t>Section UI</t>
        </is>
      </c>
      <c r="D21" s="4" t="inlineStr">
        <is>
          <t>Progressive disclosure UI for the section, consistent with F-004.</t>
        </is>
      </c>
      <c r="E21" s="4" t="inlineStr">
        <is>
          <t>Visual parity with Section 1; mobile-first layout.</t>
        </is>
      </c>
      <c r="F21" s="4" t="inlineStr">
        <is>
          <t>in_progress</t>
        </is>
      </c>
      <c r="G21" s="7" t="n">
        <v>40</v>
      </c>
      <c r="H21" s="4" t="n">
        <v>12</v>
      </c>
      <c r="I21" s="4" t="n">
        <v>0</v>
      </c>
      <c r="J21" s="4" t="inlineStr"/>
      <c r="K21" s="4" t="inlineStr">
        <is>
          <t>V1 AvatarBuilder.tsx:309 has a 'Buying Behavior' tab with the right fields. V2 (the surface being tracked) does NOT have a discrete Buying Behaviour chapter; data shape exists but UI is split between V1 tab and V2 BUYER_INTENT chapter.</t>
        </is>
      </c>
    </row>
    <row r="22" ht="42" customHeight="1">
      <c r="A22" s="4" t="inlineStr">
        <is>
          <t>F-005.3</t>
        </is>
      </c>
      <c r="B22" s="4" t="inlineStr">
        <is>
          <t>F-005</t>
        </is>
      </c>
      <c r="C22" s="4" t="inlineStr">
        <is>
          <t>AI assistance wired</t>
        </is>
      </c>
      <c r="D22" s="4" t="inlineStr">
        <is>
          <t>All four AI assistance modes available per field.</t>
        </is>
      </c>
      <c r="E22" s="4" t="inlineStr">
        <is>
          <t>All buttons present and functional.</t>
        </is>
      </c>
      <c r="F22" s="4" t="inlineStr">
        <is>
          <t>in_progress</t>
        </is>
      </c>
      <c r="G22" s="7" t="n">
        <v>35</v>
      </c>
      <c r="H22" s="4" t="n">
        <v>8</v>
      </c>
      <c r="I22" s="4" t="n">
        <v>0</v>
      </c>
      <c r="J22" s="4" t="inlineStr"/>
      <c r="K22" s="4" t="inlineStr">
        <is>
          <t>Same gap as F-004.3 — three of four AI modes via shared ChapterFieldSet; FieldChatButton (V1 only) missing from V2.</t>
        </is>
      </c>
    </row>
    <row r="23" ht="42" customHeight="1">
      <c r="A23" s="4" t="inlineStr">
        <is>
          <t>F-005.4</t>
        </is>
      </c>
      <c r="B23" s="4" t="inlineStr">
        <is>
          <t>F-005</t>
        </is>
      </c>
      <c r="C23" s="4" t="inlineStr">
        <is>
          <t>Persistence and resume</t>
        </is>
      </c>
      <c r="D23" s="4" t="inlineStr">
        <is>
          <t>Section state persists and resumes via FieldSyncService.</t>
        </is>
      </c>
      <c r="E23" s="4" t="inlineStr">
        <is>
          <t>Closing and reopening restores state.</t>
        </is>
      </c>
      <c r="F23" s="4" t="inlineStr">
        <is>
          <t>complete</t>
        </is>
      </c>
      <c r="G23" s="7" t="n">
        <v>90</v>
      </c>
      <c r="H23" s="4" t="n">
        <v>4</v>
      </c>
      <c r="I23" s="4" t="n">
        <v>0</v>
      </c>
      <c r="J23" s="4" t="inlineStr"/>
      <c r="K23" s="4" t="inlineStr">
        <is>
          <t>Persistence via shared FieldPersistenceService + realtime subscription; closing/reopening restores via DB + localStorage merge.</t>
        </is>
      </c>
    </row>
    <row r="24" ht="42" customHeight="1">
      <c r="A24" s="4" t="inlineStr">
        <is>
          <t>F-006.1</t>
        </is>
      </c>
      <c r="B24" s="4" t="inlineStr">
        <is>
          <t>F-006</t>
        </is>
      </c>
      <c r="C24" s="4" t="inlineStr">
        <is>
          <t>Field schema for Emotional Journey Mapping</t>
        </is>
      </c>
      <c r="D24" s="4" t="inlineStr">
        <is>
          <t>Define fields: pre-purchase emotions, during-purchase emotions, post-purchase emotions, Trigger Moment.</t>
        </is>
      </c>
      <c r="E24" s="4" t="inlineStr">
        <is>
          <t>Schema documented; Trigger Moment flagged as the most important.</t>
        </is>
      </c>
      <c r="F24" s="4" t="inlineStr">
        <is>
          <t>in_progress</t>
        </is>
      </c>
      <c r="G24" s="7" t="n">
        <v>30</v>
      </c>
      <c r="H24" s="4" t="n">
        <v>4</v>
      </c>
      <c r="I24" s="4" t="n">
        <v>0</v>
      </c>
      <c r="J24" s="4" t="inlineStr"/>
      <c r="K24" s="4" t="inlineStr">
        <is>
          <t>Emotional fields exist (EMOTIONAL_CONNECTION chapter:378-413 + CUSTOMER_EXPERIENCE chapter:415-450) but Gen 3 'Emotional Journey Mapping' framing with distinguished Trigger Moment NOT present; emotionalTriggers is a flat array, not a journey.</t>
        </is>
      </c>
    </row>
    <row r="25" ht="42" customHeight="1">
      <c r="A25" s="4" t="inlineStr">
        <is>
          <t>F-006.2</t>
        </is>
      </c>
      <c r="B25" s="4" t="inlineStr">
        <is>
          <t>F-006</t>
        </is>
      </c>
      <c r="C25" s="4" t="inlineStr">
        <is>
          <t>Trigger Moment field surfacing</t>
        </is>
      </c>
      <c r="D25" s="4" t="inlineStr">
        <is>
          <t>Trigger Moment field uses elevated visual treatment (gold accent, larger label).</t>
        </is>
      </c>
      <c r="E25" s="4" t="inlineStr">
        <is>
          <t>Field visually dominant in section; matches design tokens.</t>
        </is>
      </c>
      <c r="F25" s="4" t="inlineStr">
        <is>
          <t>not_started</t>
        </is>
      </c>
      <c r="G25" s="7" t="n">
        <v>0</v>
      </c>
      <c r="H25" s="4" t="n">
        <v>4</v>
      </c>
      <c r="I25" s="4" t="n">
        <v>0</v>
      </c>
      <c r="J25" s="4" t="inlineStr"/>
      <c r="K25" s="4" t="inlineStr">
        <is>
          <t>'Trigger Moment' as a distinct field with elevated visual treatment does not exist. Zero matches for 'Trigger Moment'/'trigger_moment' in src/. ChapterFieldSet renders all fields identically; no per-field visual emphasis system.</t>
        </is>
      </c>
    </row>
    <row r="26" ht="42" customHeight="1">
      <c r="A26" s="4" t="inlineStr">
        <is>
          <t>F-006.3</t>
        </is>
      </c>
      <c r="B26" s="4" t="inlineStr">
        <is>
          <t>F-006</t>
        </is>
      </c>
      <c r="C26" s="4" t="inlineStr">
        <is>
          <t>Section UI</t>
        </is>
      </c>
      <c r="D26" s="4" t="inlineStr">
        <is>
          <t>Progressive disclosure UI consistent with F-004.</t>
        </is>
      </c>
      <c r="E26" s="4" t="inlineStr">
        <is>
          <t>Visual parity with prior sections.</t>
        </is>
      </c>
      <c r="F26" s="4" t="inlineStr">
        <is>
          <t>in_progress</t>
        </is>
      </c>
      <c r="G26" s="7" t="n">
        <v>70</v>
      </c>
      <c r="H26" s="4" t="n">
        <v>12</v>
      </c>
      <c r="I26" s="4" t="n">
        <v>0</v>
      </c>
      <c r="J26" s="4" t="inlineStr"/>
      <c r="K26" s="4" t="inlineStr">
        <is>
          <t>Same accordion progressive-disclosure mechanics as F-004.2 apply to EMOTIONAL_CONNECTION chapter (3 fields, under 4-field mobile target).</t>
        </is>
      </c>
    </row>
    <row r="27" ht="42" customHeight="1">
      <c r="A27" s="4" t="inlineStr">
        <is>
          <t>F-006.4</t>
        </is>
      </c>
      <c r="B27" s="4" t="inlineStr">
        <is>
          <t>F-006</t>
        </is>
      </c>
      <c r="C27" s="4" t="inlineStr">
        <is>
          <t>AI assistance wired</t>
        </is>
      </c>
      <c r="D27" s="4" t="inlineStr">
        <is>
          <t>All four AI assistance modes available per field, including specific Trigger-Moment-shaped prompts.</t>
        </is>
      </c>
      <c r="E27" s="4" t="inlineStr">
        <is>
          <t>AI buttons functional; Trigger Moment prompts pull example trigger language.</t>
        </is>
      </c>
      <c r="F27" s="4" t="inlineStr">
        <is>
          <t>in_progress</t>
        </is>
      </c>
      <c r="G27" s="7" t="n">
        <v>25</v>
      </c>
      <c r="H27" s="4" t="n">
        <v>12</v>
      </c>
      <c r="I27" s="4" t="n">
        <v>0</v>
      </c>
      <c r="J27" s="4" t="inlineStr"/>
      <c r="K27" s="4" t="inlineStr">
        <is>
          <t>General AI assistance carries through; no Trigger-Moment-specific prompts in brand-ai-assistant/index.ts or idea-framework-consultant-claude/.</t>
        </is>
      </c>
    </row>
    <row r="28" ht="42" customHeight="1">
      <c r="A28" s="4" t="inlineStr">
        <is>
          <t>F-006.5</t>
        </is>
      </c>
      <c r="B28" s="4" t="inlineStr">
        <is>
          <t>F-006</t>
        </is>
      </c>
      <c r="C28" s="4" t="inlineStr">
        <is>
          <t>Persistence and resume</t>
        </is>
      </c>
      <c r="D28" s="4" t="inlineStr">
        <is>
          <t>Section state persists and resumes.</t>
        </is>
      </c>
      <c r="E28" s="4" t="inlineStr">
        <is>
          <t>Closing and reopening restores state.</t>
        </is>
      </c>
      <c r="F28" s="4" t="inlineStr">
        <is>
          <t>complete</t>
        </is>
      </c>
      <c r="G28" s="7" t="n">
        <v>90</v>
      </c>
      <c r="H28" s="4" t="n">
        <v>4</v>
      </c>
      <c r="I28" s="4" t="n">
        <v>0</v>
      </c>
      <c r="J28" s="4" t="inlineStr"/>
      <c r="K28" s="4" t="inlineStr">
        <is>
          <t>Inherited from shared FieldPersistenceService + realtime subscription.</t>
        </is>
      </c>
    </row>
    <row r="29" ht="42" customHeight="1">
      <c r="A29" s="4" t="inlineStr">
        <is>
          <t>F-007.1</t>
        </is>
      </c>
      <c r="B29" s="4" t="inlineStr">
        <is>
          <t>F-007</t>
        </is>
      </c>
      <c r="C29" s="4" t="inlineStr">
        <is>
          <t>Review paste-in UI</t>
        </is>
      </c>
      <c r="D29" s="4" t="inlineStr">
        <is>
          <t>User can paste in 5-50 customer reviews / testimonials; UI handles long-form text well.</t>
        </is>
      </c>
      <c r="E29" s="4" t="inlineStr">
        <is>
          <t>Textarea accepts pasted content; preview shows reviews chunked and counted.</t>
        </is>
      </c>
      <c r="F29" s="4" t="inlineStr">
        <is>
          <t>in_progress</t>
        </is>
      </c>
      <c r="G29" s="7" t="n">
        <v>50</v>
      </c>
      <c r="H29" s="4" t="n">
        <v>8</v>
      </c>
      <c r="I29" s="4" t="n">
        <v>0</v>
      </c>
      <c r="J29" s="4" t="inlineStr"/>
      <c r="K29" s="4" t="inlineStr">
        <is>
          <t>Review intake exists but is URL/ASIN-driven via ReviewAnalyzerModal:199-219 (scrape model), not the Gen 3 paste-raw-reviews-and-chunk model. V1 has a raw voiceOfCustomer textarea (AvatarBuilder.tsx:140-146).</t>
        </is>
      </c>
    </row>
    <row r="30" ht="42" customHeight="1">
      <c r="A30" s="4" t="inlineStr">
        <is>
          <t>F-007.2</t>
        </is>
      </c>
      <c r="B30" s="4" t="inlineStr">
        <is>
          <t>F-007</t>
        </is>
      </c>
      <c r="C30" s="4" t="inlineStr">
        <is>
          <t>voice-of-customer-analysis edge function</t>
        </is>
      </c>
      <c r="D30" s="4" t="inlineStr">
        <is>
          <t>Edge function extracts verbatim copy hooks, common phrases, and emotional language from pasted reviews.</t>
        </is>
      </c>
      <c r="E30" s="4" t="inlineStr">
        <is>
          <t>Returns ranked list of phrases with frequency + emotional valence; latency &lt;15s for 25 reviews.</t>
        </is>
      </c>
      <c r="F30" s="4" t="inlineStr">
        <is>
          <t>in_progress</t>
        </is>
      </c>
      <c r="G30" s="7" t="n">
        <v>25</v>
      </c>
      <c r="H30" s="4" t="n">
        <v>16</v>
      </c>
      <c r="I30" s="4" t="n">
        <v>0</v>
      </c>
      <c r="J30" s="4" t="inlineStr"/>
      <c r="K30" s="4" t="inlineStr">
        <is>
          <t>voice-of-customer-analysis edge function does NOT exist. review-scraper / review-scraper-deep edge functions exist but only scrape, don't rank phrases with frequency + valence. V1 analysis (analyzeVoiceOfCustomer at AvatarBuilder.tsx:217-274) is fully MOCKED (setTimeout + hardcoded data).</t>
        </is>
      </c>
    </row>
    <row r="31" ht="42" customHeight="1">
      <c r="A31" s="4" t="inlineStr">
        <is>
          <t>F-007.3</t>
        </is>
      </c>
      <c r="B31" s="4" t="inlineStr">
        <is>
          <t>F-007</t>
        </is>
      </c>
      <c r="C31" s="4" t="inlineStr">
        <is>
          <t>Extracted phrases UI</t>
        </is>
      </c>
      <c r="D31" s="4" t="inlineStr">
        <is>
          <t>Show extracted phrases as cards user can flag as 'use this' or 'discard'.</t>
        </is>
      </c>
      <c r="E31" s="4" t="inlineStr">
        <is>
          <t>Flagging persists; flagged phrases populate Forensic Canvas Voice fields.</t>
        </is>
      </c>
      <c r="F31" s="4" t="inlineStr">
        <is>
          <t>not_started</t>
        </is>
      </c>
      <c r="G31" s="7" t="n">
        <v>10</v>
      </c>
      <c r="H31" s="4" t="n">
        <v>8</v>
      </c>
      <c r="I31" s="4" t="n">
        <v>0</v>
      </c>
      <c r="J31" s="4" t="inlineStr"/>
      <c r="K31" s="4" t="inlineStr">
        <is>
          <t>No extracted-phrase UI with use/discard actions exists. V1 shows mock keyPhrases as text; ReviewAnalyzerModal shows review counts + ratings, no phrase-level flag-and-keep cards.</t>
        </is>
      </c>
    </row>
    <row r="32" ht="42" customHeight="1">
      <c r="A32" s="4" t="inlineStr">
        <is>
          <t>F-007.4</t>
        </is>
      </c>
      <c r="B32" s="4" t="inlineStr">
        <is>
          <t>F-007</t>
        </is>
      </c>
      <c r="C32" s="4" t="inlineStr">
        <is>
          <t>Persistence and resume</t>
        </is>
      </c>
      <c r="D32" s="4" t="inlineStr">
        <is>
          <t>Pasted reviews and flagged phrases persist across sessions.</t>
        </is>
      </c>
      <c r="E32" s="4" t="inlineStr">
        <is>
          <t>Closing and reopening restores state.</t>
        </is>
      </c>
      <c r="F32" s="4" t="inlineStr">
        <is>
          <t>in_progress</t>
        </is>
      </c>
      <c r="G32" s="7" t="n">
        <v>35</v>
      </c>
      <c r="H32" s="4" t="n">
        <v>4</v>
      </c>
      <c r="I32" s="4" t="n">
        <v>0</v>
      </c>
      <c r="J32" s="4" t="inlineStr"/>
      <c r="K32" s="4" t="inlineStr">
        <is>
          <t>Raw voiceOfCustomer paste persists via usePersistedField in V1; flagged phrases have no persistence because the flag UI doesn't exist.</t>
        </is>
      </c>
    </row>
    <row r="33" ht="42" customHeight="1">
      <c r="A33" s="4" t="inlineStr">
        <is>
          <t>F-008.1</t>
        </is>
      </c>
      <c r="B33" s="4" t="inlineStr">
        <is>
          <t>F-008</t>
        </is>
      </c>
      <c r="C33" s="4" t="inlineStr">
        <is>
          <t>28+ field canvas schema</t>
        </is>
      </c>
      <c r="D33" s="4" t="inlineStr">
        <is>
          <t>Define every Forensic Canvas field per Gen 3 brief.</t>
        </is>
      </c>
      <c r="E33" s="4" t="inlineStr">
        <is>
          <t>Schema documented; field list matches brief.</t>
        </is>
      </c>
      <c r="F33" s="4" t="inlineStr">
        <is>
          <t>in_progress</t>
        </is>
      </c>
      <c r="G33" s="7" t="n">
        <v>70</v>
      </c>
      <c r="H33" s="4" t="n">
        <v>4</v>
      </c>
      <c r="I33" s="4" t="n">
        <v>0</v>
      </c>
      <c r="J33" s="4" t="inlineStr"/>
      <c r="K33" s="4" t="inlineStr">
        <is>
          <t>35-field canvas schema exists across 11 chapters (src/config/chapterFields.ts:99-537 + src/types/chapter.ts; UI confirms '35 fields captured'). Exceeds 28+ threshold but no explicit 'Forensic Canvas' label; field-by-field Gen 3 reconciliation outstanding.</t>
        </is>
      </c>
    </row>
    <row r="34" ht="42" customHeight="1">
      <c r="A34" s="4" t="inlineStr">
        <is>
          <t>F-008.2</t>
        </is>
      </c>
      <c r="B34" s="4" t="inlineStr">
        <is>
          <t>F-008</t>
        </is>
      </c>
      <c r="C34" s="4" t="inlineStr">
        <is>
          <t>Synthesis edge function (Forensic tier)</t>
        </is>
      </c>
      <c r="D34" s="4" t="inlineStr">
        <is>
          <t>canvas-synthesis edge function in Forensic mode pulls from all 4 Avatar Builder sections.</t>
        </is>
      </c>
      <c r="E34" s="4" t="inlineStr">
        <is>
          <t>Returns populated Forensic Canvas JSON; differentiated from Draft synthesis.</t>
        </is>
      </c>
      <c r="F34" s="4" t="inlineStr">
        <is>
          <t>in_progress</t>
        </is>
      </c>
      <c r="G34" s="7" t="n">
        <v>50</v>
      </c>
      <c r="H34" s="4" t="n">
        <v>16</v>
      </c>
      <c r="I34" s="4" t="n">
        <v>0</v>
      </c>
      <c r="J34" s="4" t="inlineStr"/>
      <c r="K34" s="4" t="inlineStr">
        <is>
          <t>Full-canvas synthesis works end-to-end (two paths: generate-brand-strategy-document v1/gpt-4o 1164L; generate-brand-strategy-section v2/Haiku per-section + MarkdownExportService orchestration). No Draft/Forensic differentiation — single unified pipeline; output is Markdown not enforced JSON. v1/v2 are pipeline versions, NOT tier versions.</t>
        </is>
      </c>
    </row>
    <row r="35" ht="42" customHeight="1">
      <c r="A35" s="4" t="inlineStr">
        <is>
          <t>F-008.3</t>
        </is>
      </c>
      <c r="B35" s="4" t="inlineStr">
        <is>
          <t>F-008</t>
        </is>
      </c>
      <c r="C35" s="4" t="inlineStr">
        <is>
          <t>Trigger Moment 'Strategic Entry Point' callout</t>
        </is>
      </c>
      <c r="D35" s="4" t="inlineStr">
        <is>
          <t>Forensic Canvas displays Trigger Moment in a prominent callout block labelled Strategic Entry Point.</t>
        </is>
      </c>
      <c r="E35" s="4" t="inlineStr">
        <is>
          <t>Callout visible above-fold on canvas page.</t>
        </is>
      </c>
      <c r="F35" s="4" t="inlineStr">
        <is>
          <t>not_started</t>
        </is>
      </c>
      <c r="G35" s="7" t="n">
        <v>0</v>
      </c>
      <c r="H35" s="4" t="n">
        <v>4</v>
      </c>
      <c r="I35" s="4" t="n">
        <v>0</v>
      </c>
      <c r="J35" s="4" t="inlineStr"/>
      <c r="K35" s="4" t="inlineStr">
        <is>
          <t>'Trigger Moment' / 'Strategic Entry Point' concept absent from code — zero structural hits across src/ and edge functions. No field, callout, schema entry, or generator section captures it.</t>
        </is>
      </c>
    </row>
    <row r="36" ht="42" customHeight="1">
      <c r="A36" s="4" t="inlineStr">
        <is>
          <t>F-008.4</t>
        </is>
      </c>
      <c r="B36" s="4" t="inlineStr">
        <is>
          <t>F-008</t>
        </is>
      </c>
      <c r="C36" s="4" t="inlineStr">
        <is>
          <t>Draft-to-Forensic differential view</t>
        </is>
      </c>
      <c r="D36" s="4" t="inlineStr">
        <is>
          <t>User can toggle between Draft and Forensic side-by-side to see the upgrade differential.</t>
        </is>
      </c>
      <c r="E36" s="4" t="inlineStr">
        <is>
          <t>Toggle visible from canvas; renders both canvases readably on desktop and mobile.</t>
        </is>
      </c>
      <c r="F36" s="4" t="inlineStr">
        <is>
          <t>not_started</t>
        </is>
      </c>
      <c r="G36" s="7" t="n">
        <v>0</v>
      </c>
      <c r="H36" s="4" t="n">
        <v>12</v>
      </c>
      <c r="I36" s="4" t="n">
        <v>0</v>
      </c>
      <c r="J36" s="4" t="inlineStr"/>
      <c r="K36" s="4" t="inlineStr">
        <is>
          <t>No two synthesis outputs exist to compare (single unified path). No toggle component, no diff renderer. Prerequisites in F-003.2 + F-008.2 missing.</t>
        </is>
      </c>
    </row>
    <row r="37" ht="42" customHeight="1">
      <c r="A37" s="4" t="inlineStr">
        <is>
          <t>F-008.5</t>
        </is>
      </c>
      <c r="B37" s="4" t="inlineStr">
        <is>
          <t>F-008</t>
        </is>
      </c>
      <c r="C37" s="4" t="inlineStr">
        <is>
          <t>Export prep (Markdown intermediate)</t>
        </is>
      </c>
      <c r="D37" s="4" t="inlineStr">
        <is>
          <t>Forensic Canvas serialises to Markdown as an intermediate format for F-023 PDF/Word export.</t>
        </is>
      </c>
      <c r="E37" s="4" t="inlineStr">
        <is>
          <t>Markdown round-trips: re-importing reproduces canvas state.</t>
        </is>
      </c>
      <c r="F37" s="4" t="inlineStr">
        <is>
          <t>in_progress</t>
        </is>
      </c>
      <c r="G37" s="7" t="n">
        <v>75</v>
      </c>
      <c r="H37" s="4" t="n">
        <v>4</v>
      </c>
      <c r="I37" s="4" t="n">
        <v>0</v>
      </c>
      <c r="J37" s="4" t="inlineStr"/>
      <c r="K37" s="4" t="inlineStr">
        <is>
          <t>Markdown export pipeline is mature (MarkdownExportService + BrandMarkdownExport + templates/sections/ for BrandCanvas, CustomerAvatar, IDEAFramework, etc.). Round-trip (parse back into canvas) not implemented — export is one-way.</t>
        </is>
      </c>
    </row>
    <row r="38" ht="42" customHeight="1">
      <c r="A38" s="4" t="inlineStr">
        <is>
          <t>F-009.1</t>
        </is>
      </c>
      <c r="B38" s="4" t="inlineStr">
        <is>
          <t>F-009</t>
        </is>
      </c>
      <c r="C38" s="4" t="inlineStr">
        <is>
          <t>Mode: Think About This</t>
        </is>
      </c>
      <c r="D38" s="4" t="inlineStr">
        <is>
          <t>Generates prompt-style question helping the user think more deeply about the field.</t>
        </is>
      </c>
      <c r="E38" s="4" t="inlineStr">
        <is>
          <t>Returns 3-5 reflective questions in Trevor's voice; &lt;5s latency.</t>
        </is>
      </c>
      <c r="F38" s="4" t="inlineStr">
        <is>
          <t>not_started</t>
        </is>
      </c>
      <c r="G38" s="7" t="n">
        <v>0</v>
      </c>
      <c r="H38" s="4" t="n">
        <v>8</v>
      </c>
      <c r="I38" s="4" t="n">
        <v>0</v>
      </c>
      <c r="J38" s="4" t="inlineStr"/>
      <c r="K38" s="4" t="inlineStr">
        <is>
          <t>No 'Think About This' mode. AIAssistant uses a single 'Generate with AI' button → brand-ai-assistant edge function whose prompt explicitly says 'Generate the ACTUAL content for the field, not suggestions or feedback' — opposite of reflective questions. contextual-help/index.ts exists but isn't wired to a 'Think About This' surface.</t>
        </is>
      </c>
    </row>
    <row r="39" ht="42" customHeight="1">
      <c r="A39" s="4" t="inlineStr">
        <is>
          <t>F-009.2</t>
        </is>
      </c>
      <c r="B39" s="4" t="inlineStr">
        <is>
          <t>F-009</t>
        </is>
      </c>
      <c r="C39" s="4" t="inlineStr">
        <is>
          <t>Mode: Real-World Examples</t>
        </is>
      </c>
      <c r="D39" s="4" t="inlineStr">
        <is>
          <t>Returns 2-3 anonymised example fills for the field from RAG over the System KB.</t>
        </is>
      </c>
      <c r="E39" s="4" t="inlineStr">
        <is>
          <t>Examples are relevant to the brand category; &lt;8s latency.</t>
        </is>
      </c>
      <c r="F39" s="4" t="inlineStr">
        <is>
          <t>not_started</t>
        </is>
      </c>
      <c r="G39" s="7" t="n">
        <v>0</v>
      </c>
      <c r="H39" s="4" t="n">
        <v>8</v>
      </c>
      <c r="I39" s="4" t="n">
        <v>0</v>
      </c>
      <c r="J39" s="4" t="inlineStr"/>
      <c r="K39" s="4" t="inlineStr">
        <is>
          <t>No 'Real-World Examples' mode. brand-ai-assistant returns single suggestion text only. RAG infra (sync-diagnostic-to-embeddings) exists but for user KB, not anonymised System KB examples.</t>
        </is>
      </c>
    </row>
    <row r="40" ht="42" customHeight="1">
      <c r="A40" s="4" t="inlineStr">
        <is>
          <t>F-009.3</t>
        </is>
      </c>
      <c r="B40" s="4" t="inlineStr">
        <is>
          <t>F-009</t>
        </is>
      </c>
      <c r="C40" s="4" t="inlineStr">
        <is>
          <t>Mode: Get AI Suggestions</t>
        </is>
      </c>
      <c r="D40" s="4" t="inlineStr">
        <is>
          <t>Returns 2-3 suggested fills based on the user's prior fields.</t>
        </is>
      </c>
      <c r="E40" s="4" t="inlineStr">
        <is>
          <t>Suggestions are coherent with prior fields; &lt;8s latency.</t>
        </is>
      </c>
      <c r="F40" s="4" t="inlineStr">
        <is>
          <t>in_progress</t>
        </is>
      </c>
      <c r="G40" s="7" t="n">
        <v>55</v>
      </c>
      <c r="H40" s="4" t="n">
        <v>8</v>
      </c>
      <c r="I40" s="4" t="n">
        <v>0</v>
      </c>
      <c r="J40" s="4" t="inlineStr"/>
      <c r="K40" s="4" t="inlineStr">
        <is>
          <t>Single-suggestion generator works end-to-end (AIAssistant → AISuggestionHandler → brand-ai-assistant edge function, with accept/reject preview). Missing the '2-3 alternatives' criterion and the explicit mode label.</t>
        </is>
      </c>
    </row>
    <row r="41" ht="42" customHeight="1">
      <c r="A41" s="4" t="inlineStr">
        <is>
          <t>F-009.4</t>
        </is>
      </c>
      <c r="B41" s="4" t="inlineStr">
        <is>
          <t>F-009</t>
        </is>
      </c>
      <c r="C41" s="4" t="inlineStr">
        <is>
          <t>Mode: Get AI Auto-Populate</t>
        </is>
      </c>
      <c r="D41" s="4" t="inlineStr">
        <is>
          <t>Auto-fills the field with the best inferred value; user can accept / edit / reject.</t>
        </is>
      </c>
      <c r="E41" s="4" t="inlineStr">
        <is>
          <t>Auto-fill respects manual edit lock (F-011); never overwrites manual edits silently.</t>
        </is>
      </c>
      <c r="F41" s="4" t="inlineStr">
        <is>
          <t>in_progress</t>
        </is>
      </c>
      <c r="G41" s="7" t="n">
        <v>35</v>
      </c>
      <c r="H41" s="4" t="n">
        <v>12</v>
      </c>
      <c r="I41" s="4" t="n">
        <v>0</v>
      </c>
      <c r="J41" s="4" t="inlineStr"/>
      <c r="K41" s="4" t="inlineStr">
        <is>
          <t>Chat-driven auto-extraction populates many fields with lock-skip logic (useFieldExtraction:179-248, line 192 skips locked); GhostTextFieldWrapper Tab-accept exists. NO dedicated per-field 'Auto-Populate' button. Manual-edit-aware overwrite is lock-based, not edit-flag-based.</t>
        </is>
      </c>
    </row>
    <row r="42" ht="42" customHeight="1">
      <c r="A42" s="4" t="inlineStr">
        <is>
          <t>F-009.5</t>
        </is>
      </c>
      <c r="B42" s="4" t="inlineStr">
        <is>
          <t>F-009</t>
        </is>
      </c>
      <c r="C42" s="4" t="inlineStr">
        <is>
          <t>Field-level mode selector UI</t>
        </is>
      </c>
      <c r="D42" s="4" t="inlineStr">
        <is>
          <t>Each field shows the 4 mode buttons in a consistent place; tooltip explains each.</t>
        </is>
      </c>
      <c r="E42" s="4" t="inlineStr">
        <is>
          <t>Buttons visible and accessible; consistent across all Avatar Builder sections.</t>
        </is>
      </c>
      <c r="F42" s="4" t="inlineStr">
        <is>
          <t>not_started</t>
        </is>
      </c>
      <c r="G42" s="7" t="n">
        <v>5</v>
      </c>
      <c r="H42" s="4" t="n">
        <v>12</v>
      </c>
      <c r="I42" s="4" t="n">
        <v>0</v>
      </c>
      <c r="J42" s="4" t="inlineStr"/>
      <c r="K42" s="4" t="inlineStr">
        <is>
          <t>No 4-mode selector UI. AIButton.tsx:32-52 is a single 'Generate with AI' button per field. Tooltip explaining modes absent.</t>
        </is>
      </c>
    </row>
    <row r="43" ht="42" customHeight="1">
      <c r="A43" s="4" t="inlineStr">
        <is>
          <t>F-010.1</t>
        </is>
      </c>
      <c r="B43" s="4" t="inlineStr">
        <is>
          <t>F-010</t>
        </is>
      </c>
      <c r="C43" s="4" t="inlineStr">
        <is>
          <t>Disclosure pattern documented in design system</t>
        </is>
      </c>
      <c r="D43" s="4" t="inlineStr">
        <is>
          <t>Pattern guide written so all sections behave the same way.</t>
        </is>
      </c>
      <c r="E43" s="4" t="inlineStr">
        <is>
          <t>Doc in design system; example component referenced.</t>
        </is>
      </c>
      <c r="F43" s="4" t="inlineStr">
        <is>
          <t>not_started</t>
        </is>
      </c>
      <c r="G43" s="7" t="n">
        <v>5</v>
      </c>
      <c r="H43" s="4" t="n">
        <v>4</v>
      </c>
      <c r="I43" s="4" t="n">
        <v>0</v>
      </c>
      <c r="J43" s="4" t="inlineStr"/>
      <c r="K43" s="4" t="inlineStr">
        <is>
          <t>shadcn Accordion is used informally as the chapter-disclosure pattern (ChapterSectionAccordion) but no documented disclosure pattern guide; docs/lovable/04_UI_DESIGN_SYSTEM.md doesn't formalise it.</t>
        </is>
      </c>
    </row>
    <row r="44" ht="42" customHeight="1">
      <c r="A44" s="4" t="inlineStr">
        <is>
          <t>F-010.2</t>
        </is>
      </c>
      <c r="B44" s="4" t="inlineStr">
        <is>
          <t>F-010</t>
        </is>
      </c>
      <c r="C44" s="4" t="inlineStr">
        <is>
          <t>Mobile-first audit on V2 sections</t>
        </is>
      </c>
      <c r="D44" s="4" t="inlineStr">
        <is>
          <t>Audit existing V2 sections against mobile-primary use; document gaps.</t>
        </is>
      </c>
      <c r="E44" s="4" t="inlineStr">
        <is>
          <t>Audit report committed; gaps tracked as sub-tasks of relevant features.</t>
        </is>
      </c>
      <c r="F44" s="4" t="inlineStr">
        <is>
          <t>not_started</t>
        </is>
      </c>
      <c r="G44" s="7" t="n">
        <v>0</v>
      </c>
      <c r="H44" s="4" t="n">
        <v>4</v>
      </c>
      <c r="I44" s="4" t="n">
        <v>0</v>
      </c>
      <c r="J44" s="4" t="inlineStr"/>
      <c r="K44" s="4" t="inlineStr">
        <is>
          <t>No mobile-first audit report committed. Responsive behaviour exists per-component (e.g., GhostTextFieldWrapper:102 hides on mobile) but no systematic audit document, no tracked gap list.</t>
        </is>
      </c>
    </row>
    <row r="45" ht="42" customHeight="1">
      <c r="A45" s="4" t="inlineStr">
        <is>
          <t>F-011.1</t>
        </is>
      </c>
      <c r="B45" s="4" t="inlineStr">
        <is>
          <t>F-011</t>
        </is>
      </c>
      <c r="C45" s="4" t="inlineStr">
        <is>
          <t>Manual-edit flag on field model</t>
        </is>
      </c>
      <c r="D45" s="4" t="inlineStr">
        <is>
          <t>Persist a boolean per field indicating user has manually edited it.</t>
        </is>
      </c>
      <c r="E45" s="4" t="inlineStr">
        <is>
          <t>Flag set on any non-AI edit; survives reload.</t>
        </is>
      </c>
      <c r="F45" s="4" t="inlineStr">
        <is>
          <t>in_review</t>
        </is>
      </c>
      <c r="G45" s="7" t="n">
        <v>70</v>
      </c>
      <c r="H45" s="4" t="n">
        <v>4</v>
      </c>
      <c r="I45" s="4" t="n">
        <v>4</v>
      </c>
      <c r="J45" s="4" t="inlineStr"/>
      <c r="K45" s="4" t="inlineStr">
        <is>
          <t>field_source: 'ai' | 'manual' exists (useFieldExtraction:35-43, setFieldManual:299-312) and survives reload (FieldPersistenceService:65-125). NOT the same as a 'manuallyEdited' boolean — system pairs it with separate is_locked user-toggle. Spec ambiguity: manual edit alone does NOT trigger overwrite protection; only an explicit lock does.</t>
        </is>
      </c>
    </row>
    <row r="46" ht="42" customHeight="1">
      <c r="A46" s="4" t="inlineStr">
        <is>
          <t>F-011.2</t>
        </is>
      </c>
      <c r="B46" s="4" t="inlineStr">
        <is>
          <t>F-011</t>
        </is>
      </c>
      <c r="C46" s="4" t="inlineStr">
        <is>
          <t>AI overwrite guard</t>
        </is>
      </c>
      <c r="D46" s="4" t="inlineStr">
        <is>
          <t>AI assistance modes never silently overwrite manually edited fields.</t>
        </is>
      </c>
      <c r="E46" s="4" t="inlineStr">
        <is>
          <t>Auto-populate skips manual-edited fields by default; user can explicitly opt in to overwrite.</t>
        </is>
      </c>
      <c r="F46" s="4" t="inlineStr">
        <is>
          <t>in_progress</t>
        </is>
      </c>
      <c r="G46" s="7" t="n">
        <v>65</v>
      </c>
      <c r="H46" s="4" t="n">
        <v>4</v>
      </c>
      <c r="I46" s="4" t="n">
        <v>0</v>
      </c>
      <c r="J46" s="4" t="inlineStr"/>
      <c r="K46" s="4" t="inlineStr">
        <is>
          <t>AI overwrite guard works for chat extraction (useFieldExtraction:190-203) and realtime sync (399-422), but ONLY when user explicitly locked the field (useFieldLocking.setFieldLock). No automatic guard for manually-edited-but-unlocked fields. Per-field AIAssistant button bypasses lock entirely.</t>
        </is>
      </c>
    </row>
    <row r="47" ht="42" customHeight="1">
      <c r="A47" s="4" t="inlineStr">
        <is>
          <t>F-011.3</t>
        </is>
      </c>
      <c r="B47" s="4" t="inlineStr">
        <is>
          <t>F-011</t>
        </is>
      </c>
      <c r="C47" s="4" t="inlineStr">
        <is>
          <t>Visual indicator of manual edit</t>
        </is>
      </c>
      <c r="D47" s="4" t="inlineStr">
        <is>
          <t>Manually edited fields show a small icon indicating they're locked.</t>
        </is>
      </c>
      <c r="E47" s="4" t="inlineStr">
        <is>
          <t>Icon visible; tooltip explains the lock.</t>
        </is>
      </c>
      <c r="F47" s="4" t="inlineStr">
        <is>
          <t>in_progress</t>
        </is>
      </c>
      <c r="G47" s="7" t="n">
        <v>35</v>
      </c>
      <c r="H47" s="4" t="n">
        <v>4</v>
      </c>
      <c r="I47" s="4" t="n">
        <v>0</v>
      </c>
      <c r="J47" s="4" t="inlineStr"/>
      <c r="K47" s="4" t="inlineStr">
        <is>
          <t>Amber border/bg on FieldExtractionBadges:42-43 indicates lock, but no dedicated lock icon, no tooltip explaining it, no user-facing toggle. setFieldLock is only called programmatically.</t>
        </is>
      </c>
    </row>
    <row r="48" ht="42" customHeight="1">
      <c r="A48" s="4" t="inlineStr">
        <is>
          <t>F-012.1</t>
        </is>
      </c>
      <c r="B48" s="4" t="inlineStr">
        <is>
          <t>F-012</t>
        </is>
      </c>
      <c r="C48" s="4" t="inlineStr">
        <is>
          <t>Conversation→field extraction edge function</t>
        </is>
      </c>
      <c r="D48" s="4" t="inlineStr">
        <is>
          <t>Edge function takes a conversation turn and returns structured field updates with confidence.</t>
        </is>
      </c>
      <c r="E48" s="4" t="inlineStr">
        <is>
          <t>Returns field updates with confidence scores 0-1; latency &lt;3s.</t>
        </is>
      </c>
      <c r="F48" s="4" t="inlineStr">
        <is>
          <t>in_progress</t>
        </is>
      </c>
      <c r="G48" s="7" t="n">
        <v>85</v>
      </c>
      <c r="H48" s="4" t="n">
        <v>12</v>
      </c>
      <c r="I48" s="4" t="n">
        <v>0</v>
      </c>
      <c r="J48" s="4" t="inlineStr"/>
      <c r="K48" s="4" t="inlineStr">
        <is>
          <t>Edge function returns field updates with 0-1 confidence via streaming tool-use (idea-framework-consultant-claude/tools.ts:54-93 + stream.ts:93-105); confidence flows through orchestrator; missing latency assertion/test and dedicated tool extraction tests.</t>
        </is>
      </c>
    </row>
    <row r="49" ht="42" customHeight="1">
      <c r="A49" s="4" t="inlineStr">
        <is>
          <t>F-012.2</t>
        </is>
      </c>
      <c r="B49" s="4" t="inlineStr">
        <is>
          <t>F-012</t>
        </is>
      </c>
      <c r="C49" s="4" t="inlineStr">
        <is>
          <t>Confidence score → quality badge mapping</t>
        </is>
      </c>
      <c r="D49" s="4" t="inlineStr">
        <is>
          <t>Confidence scores map to the user-facing quality badge tiers.</t>
        </is>
      </c>
      <c r="E49" s="4" t="inlineStr">
        <is>
          <t>Mapping documented; consistent across fields.</t>
        </is>
      </c>
      <c r="F49" s="4" t="inlineStr">
        <is>
          <t>in_progress</t>
        </is>
      </c>
      <c r="G49" s="7" t="n">
        <v>50</v>
      </c>
      <c r="H49" s="4" t="n">
        <v>4</v>
      </c>
      <c r="I49" s="4" t="n">
        <v>4</v>
      </c>
      <c r="J49" s="4" t="inlineStr"/>
      <c r="K49" s="4" t="inlineStr">
        <is>
          <t>Two distinct badge systems exist (heuristic quality tiers on sidebar via fieldQualityScore.ts; raw percentage on chat badges in FieldExtractionBadges:194-198) but neither is a documented confidence→badge mapping — spec criterion 'Mapping documented; consistent across fields' is not met.</t>
        </is>
      </c>
    </row>
    <row r="50" ht="42" customHeight="1">
      <c r="A50" s="4" t="inlineStr">
        <is>
          <t>F-012.3</t>
        </is>
      </c>
      <c r="B50" s="4" t="inlineStr">
        <is>
          <t>F-012</t>
        </is>
      </c>
      <c r="C50" s="4" t="inlineStr">
        <is>
          <t>Re-extraction on field edit</t>
        </is>
      </c>
      <c r="D50" s="4" t="inlineStr">
        <is>
          <t>When user edits a field, re-extract from the user's own prose if it looks like a paragraph.</t>
        </is>
      </c>
      <c r="E50" s="4" t="inlineStr">
        <is>
          <t>Pasting a paragraph into a single field offers extraction into multiple fields.</t>
        </is>
      </c>
      <c r="F50" s="4" t="inlineStr">
        <is>
          <t>not_started</t>
        </is>
      </c>
      <c r="G50" s="7" t="n">
        <v>0</v>
      </c>
      <c r="H50" s="4" t="n">
        <v>8</v>
      </c>
      <c r="I50" s="4" t="n">
        <v>0</v>
      </c>
      <c r="J50" s="4" t="inlineStr"/>
      <c r="K50" s="4" t="inlineStr">
        <is>
          <t>No re-extraction-on-edit behaviour. Pasting a paragraph into a single field just stores it as that field's value with no offer to split. ChapterFieldSet handleInputChange has no multi-field detection.</t>
        </is>
      </c>
    </row>
    <row r="51" ht="42" customHeight="1">
      <c r="A51" s="4" t="inlineStr">
        <is>
          <t>F-013.1</t>
        </is>
      </c>
      <c r="B51" s="4" t="inlineStr">
        <is>
          <t>F-013</t>
        </is>
      </c>
      <c r="C51" s="4" t="inlineStr">
        <is>
          <t>Modal trigger after Draft Canvas</t>
        </is>
      </c>
      <c r="D51" s="4" t="inlineStr">
        <is>
          <t>Modal opens automatically the first time a user views their Draft Canvas.</t>
        </is>
      </c>
      <c r="E51" s="4" t="inlineStr">
        <is>
          <t>Modal appears once per user; dismissable; trigger not repeated.</t>
        </is>
      </c>
      <c r="F51" s="4" t="inlineStr">
        <is>
          <t>not_started</t>
        </is>
      </c>
      <c r="G51" s="7" t="n">
        <v>0</v>
      </c>
      <c r="H51" s="4" t="n">
        <v>4</v>
      </c>
      <c r="I51" s="4" t="n">
        <v>0</v>
      </c>
      <c r="J51" s="4" t="inlineStr"/>
      <c r="K51" s="4" t="inlineStr">
        <is>
          <t>No modal trigger exists. BrandCanvas page has no first-view detection or modal mounting; nothing distinguishes 'Draft' vs 'Forensic' canvas state.</t>
        </is>
      </c>
    </row>
    <row r="52" ht="42" customHeight="1">
      <c r="A52" s="4" t="inlineStr">
        <is>
          <t>F-013.2</t>
        </is>
      </c>
      <c r="B52" s="4" t="inlineStr">
        <is>
          <t>F-013</t>
        </is>
      </c>
      <c r="C52" s="4" t="inlineStr">
        <is>
          <t>Feedback questions (per Launch Roadmap › Feedback Loop)</t>
        </is>
      </c>
      <c r="D52" s="4" t="inlineStr">
        <is>
          <t>Three short questions about whether the conversation revealed new territory.</t>
        </is>
      </c>
      <c r="E52" s="4" t="inlineStr">
        <is>
          <t>Questions match Launch Roadmap spec exactly.</t>
        </is>
      </c>
      <c r="F52" s="4" t="inlineStr">
        <is>
          <t>not_started</t>
        </is>
      </c>
      <c r="G52" s="7" t="n">
        <v>0</v>
      </c>
      <c r="H52" s="4" t="n">
        <v>2</v>
      </c>
      <c r="I52" s="4" t="n">
        <v>0</v>
      </c>
      <c r="J52" s="4" t="inlineStr"/>
      <c r="K52" s="4" t="inlineStr">
        <is>
          <t>No entry-signal question copy or component. Existing BetaFeedback form is generic rating/likes/issues, unrelated to 'did the conversation reveal new territory'.</t>
        </is>
      </c>
    </row>
    <row r="53" ht="42" customHeight="1">
      <c r="A53" s="4" t="inlineStr">
        <is>
          <t>F-013.3</t>
        </is>
      </c>
      <c r="B53" s="4" t="inlineStr">
        <is>
          <t>F-013</t>
        </is>
      </c>
      <c r="C53" s="4" t="inlineStr">
        <is>
          <t>Submit to feedback sheet</t>
        </is>
      </c>
      <c r="D53" s="4" t="inlineStr">
        <is>
          <t>Response submits to the central feedback sheet (F-016).</t>
        </is>
      </c>
      <c r="E53" s="4" t="inlineStr">
        <is>
          <t>Row appears in feedback sheet within 10s of submit.</t>
        </is>
      </c>
      <c r="F53" s="4" t="inlineStr">
        <is>
          <t>not_started</t>
        </is>
      </c>
      <c r="G53" s="7" t="n">
        <v>0</v>
      </c>
      <c r="H53" s="4" t="n">
        <v>4</v>
      </c>
      <c r="I53" s="4" t="n">
        <v>0</v>
      </c>
      <c r="J53" s="4" t="inlineStr"/>
      <c r="K53" s="4" t="inlineStr">
        <is>
          <t>No write path tagged 'moment_1' or 'entry_signal'. Existing save-beta-feedback edge function lacks moment discriminator; central sheet (F-016) hasn't been designed.</t>
        </is>
      </c>
    </row>
    <row r="54" ht="42" customHeight="1">
      <c r="A54" s="4" t="inlineStr">
        <is>
          <t>F-014.1</t>
        </is>
      </c>
      <c r="B54" s="4" t="inlineStr">
        <is>
          <t>F-014</t>
        </is>
      </c>
      <c r="C54" s="4" t="inlineStr">
        <is>
          <t>Inline panel after Forensic Canvas</t>
        </is>
      </c>
      <c r="D54" s="4" t="inlineStr">
        <is>
          <t>Inline panel renders below the Forensic Canvas the first time it's viewed.</t>
        </is>
      </c>
      <c r="E54" s="4" t="inlineStr">
        <is>
          <t>Panel appears once per user; dismissable.</t>
        </is>
      </c>
      <c r="F54" s="4" t="inlineStr">
        <is>
          <t>not_started</t>
        </is>
      </c>
      <c r="G54" s="7" t="n">
        <v>0</v>
      </c>
      <c r="H54" s="4" t="n">
        <v>4</v>
      </c>
      <c r="I54" s="4" t="n">
        <v>0</v>
      </c>
      <c r="J54" s="4" t="inlineStr"/>
      <c r="K54" s="4" t="inlineStr">
        <is>
          <t>No inline panel rendered below Canvas. No concept of 'Forensic Canvas' distinct rendering state in the codebase to gate the panel against.</t>
        </is>
      </c>
    </row>
    <row r="55" ht="42" customHeight="1">
      <c r="A55" s="4" t="inlineStr">
        <is>
          <t>F-014.2</t>
        </is>
      </c>
      <c r="B55" s="4" t="inlineStr">
        <is>
          <t>F-014</t>
        </is>
      </c>
      <c r="C55" s="4" t="inlineStr">
        <is>
          <t>'What will you do with this?' question with multi-select</t>
        </is>
      </c>
      <c r="D55" s="4" t="inlineStr">
        <is>
          <t>Multi-select including 'update existing assets' option (drives the asset-tracking decision gate).</t>
        </is>
      </c>
      <c r="E55" s="4" t="inlineStr">
        <is>
          <t>Selections recorded with timestamps; 'update existing assets' specifically tracked.</t>
        </is>
      </c>
      <c r="F55" s="4" t="inlineStr">
        <is>
          <t>not_started</t>
        </is>
      </c>
      <c r="G55" s="7" t="n">
        <v>0</v>
      </c>
      <c r="H55" s="4" t="n">
        <v>4</v>
      </c>
      <c r="I55" s="4" t="n">
        <v>0</v>
      </c>
      <c r="J55" s="4" t="inlineStr"/>
      <c r="K55" s="4" t="inlineStr">
        <is>
          <t>No multi-select question component or option set. The 'update existing assets' option that drives the asset-tracking decision gate is entirely unbuilt.</t>
        </is>
      </c>
    </row>
    <row r="56" ht="42" customHeight="1">
      <c r="A56" s="4" t="inlineStr">
        <is>
          <t>F-014.3</t>
        </is>
      </c>
      <c r="B56" s="4" t="inlineStr">
        <is>
          <t>F-014</t>
        </is>
      </c>
      <c r="C56" s="4" t="inlineStr">
        <is>
          <t>Submit to feedback sheet</t>
        </is>
      </c>
      <c r="D56" s="4" t="inlineStr">
        <is>
          <t>Response submits to the central feedback sheet.</t>
        </is>
      </c>
      <c r="E56" s="4" t="inlineStr">
        <is>
          <t>Row appears in feedback sheet within 10s of submit.</t>
        </is>
      </c>
      <c r="F56" s="4" t="inlineStr">
        <is>
          <t>not_started</t>
        </is>
      </c>
      <c r="G56" s="7" t="n">
        <v>0</v>
      </c>
      <c r="H56" s="4" t="n">
        <v>4</v>
      </c>
      <c r="I56" s="4" t="n">
        <v>0</v>
      </c>
      <c r="J56" s="4" t="inlineStr"/>
      <c r="K56" s="4" t="inlineStr">
        <is>
          <t>No Moment-2-specific write path. Would need new endpoint or moment_type discriminator on existing endpoint plus F-016 sheet.</t>
        </is>
      </c>
    </row>
    <row r="57" ht="42" customHeight="1">
      <c r="A57" s="4" t="inlineStr">
        <is>
          <t>F-015.1</t>
        </is>
      </c>
      <c r="B57" s="4" t="inlineStr">
        <is>
          <t>F-015</t>
        </is>
      </c>
      <c r="C57" s="4" t="inlineStr">
        <is>
          <t>Scheduled-send infrastructure</t>
        </is>
      </c>
      <c r="D57" s="4" t="inlineStr">
        <is>
          <t>Day-14 emails sent via Resend / Supabase cron; idempotent.</t>
        </is>
      </c>
      <c r="E57" s="4" t="inlineStr">
        <is>
          <t>Email sends exactly once 14 days after Forensic Canvas creation.</t>
        </is>
      </c>
      <c r="F57" s="4" t="inlineStr">
        <is>
          <t>not_started</t>
        </is>
      </c>
      <c r="G57" s="7" t="n">
        <v>0</v>
      </c>
      <c r="H57" s="4" t="n">
        <v>4</v>
      </c>
      <c r="I57" s="4" t="n">
        <v>0</v>
      </c>
      <c r="J57" s="4" t="inlineStr"/>
      <c r="K57" s="4" t="inlineStr">
        <is>
          <t>No scheduled-send infrastructure. pg_cron not enabled, no day-offset queue table, no idempotency keys. Only synchronous Resend call exists (send-framework-email) for a different feature.</t>
        </is>
      </c>
    </row>
    <row r="58" ht="42" customHeight="1">
      <c r="A58" s="4" t="inlineStr">
        <is>
          <t>F-015.2</t>
        </is>
      </c>
      <c r="B58" s="4" t="inlineStr">
        <is>
          <t>F-015</t>
        </is>
      </c>
      <c r="C58" s="4" t="inlineStr">
        <is>
          <t>Email content + reply parsing</t>
        </is>
      </c>
      <c r="D58" s="4" t="inlineStr">
        <is>
          <t>Email asks the question; replies parse into the feedback sheet.</t>
        </is>
      </c>
      <c r="E58" s="4" t="inlineStr">
        <is>
          <t>Replies flow into feedback sheet; failures alert Matthew.</t>
        </is>
      </c>
      <c r="F58" s="4" t="inlineStr">
        <is>
          <t>not_started</t>
        </is>
      </c>
      <c r="G58" s="7" t="n">
        <v>0</v>
      </c>
      <c r="H58" s="4" t="n">
        <v>4</v>
      </c>
      <c r="I58" s="4" t="n">
        <v>0</v>
      </c>
      <c r="J58" s="4" t="inlineStr"/>
      <c r="K58" s="4" t="inlineStr">
        <is>
          <t>No 14-day email template, no inbound reply parsing webhook. Resend inbound parsing not configured.</t>
        </is>
      </c>
    </row>
    <row r="59" ht="42" customHeight="1">
      <c r="A59" s="4" t="inlineStr">
        <is>
          <t>F-016.1</t>
        </is>
      </c>
      <c r="B59" s="4" t="inlineStr">
        <is>
          <t>F-016</t>
        </is>
      </c>
      <c r="C59" s="4" t="inlineStr">
        <is>
          <t>Central feedback sheet schema</t>
        </is>
      </c>
      <c r="D59" s="4" t="inlineStr">
        <is>
          <t>One row per response; columns for moment, user_id, timestamp, payload JSON, parsed key fields.</t>
        </is>
      </c>
      <c r="E59" s="4" t="inlineStr">
        <is>
          <t>Schema documented; sheet (or DB view) exists.</t>
        </is>
      </c>
      <c r="F59" s="4" t="inlineStr">
        <is>
          <t>not_started</t>
        </is>
      </c>
      <c r="G59" s="7" t="n">
        <v>0</v>
      </c>
      <c r="H59" s="4" t="n">
        <v>4</v>
      </c>
      <c r="I59" s="4" t="n">
        <v>0</v>
      </c>
      <c r="J59" s="4" t="inlineStr"/>
      <c r="K59" s="4" t="inlineStr">
        <is>
          <t>Existing beta_feedback table is wide-form (overall_rating, liked_most, improvements, issues) — wrong shape. F-016 spec requires narrow event-row schema (moment, user_id, timestamp, payload JSONB).</t>
        </is>
      </c>
    </row>
    <row r="60" ht="42" customHeight="1">
      <c r="A60" s="4" t="inlineStr">
        <is>
          <t>F-016.2</t>
        </is>
      </c>
      <c r="B60" s="4" t="inlineStr">
        <is>
          <t>F-016</t>
        </is>
      </c>
      <c r="C60" s="4" t="inlineStr">
        <is>
          <t>Write path from feedback moments</t>
        </is>
      </c>
      <c r="D60" s="4" t="inlineStr">
        <is>
          <t>All three feedback moments write to the central sheet.</t>
        </is>
      </c>
      <c r="E60" s="4" t="inlineStr">
        <is>
          <t>Test row from each moment appears in the sheet.</t>
        </is>
      </c>
      <c r="F60" s="4" t="inlineStr">
        <is>
          <t>not_started</t>
        </is>
      </c>
      <c r="G60" s="7" t="n">
        <v>0</v>
      </c>
      <c r="H60" s="4" t="n">
        <v>4</v>
      </c>
      <c r="I60" s="4" t="n">
        <v>0</v>
      </c>
      <c r="J60" s="4" t="inlineStr"/>
      <c r="K60" s="4" t="inlineStr">
        <is>
          <t>No write path from the three moments exists, because the three moments themselves don't exist. The endpoint exists but the contract is wrong for moment-tagged events.</t>
        </is>
      </c>
    </row>
    <row r="61" ht="42" customHeight="1">
      <c r="A61" s="4" t="inlineStr">
        <is>
          <t>F-017.1</t>
        </is>
      </c>
      <c r="B61" s="4" t="inlineStr">
        <is>
          <t>F-017</t>
        </is>
      </c>
      <c r="C61" s="4" t="inlineStr">
        <is>
          <t>Sentry SDK installed</t>
        </is>
      </c>
      <c r="D61" s="4" t="inlineStr">
        <is>
          <t>Sentry installed for both client (Vite) and edge functions.</t>
        </is>
      </c>
      <c r="E61" s="4" t="inlineStr">
        <is>
          <t>Errors visible in Sentry dashboard within 1 min of occurrence.</t>
        </is>
      </c>
      <c r="F61" s="4" t="inlineStr">
        <is>
          <t>not_started</t>
        </is>
      </c>
      <c r="G61" s="7" t="n">
        <v>0</v>
      </c>
      <c r="H61" s="4" t="n">
        <v>3</v>
      </c>
      <c r="I61" s="4" t="n">
        <v>0</v>
      </c>
      <c r="J61" s="4" t="inlineStr"/>
      <c r="K61" s="4" t="inlineStr">
        <is>
          <t>No Sentry (or Rollbar/Bugsnag/LogRocket/Datadog) dep in package.json or lock. ErrorBoundary.tsx:58-61 has only a commented-out placeholder; errors only console.error'd. No edge function error helper.</t>
        </is>
      </c>
    </row>
    <row r="62" ht="42" customHeight="1">
      <c r="A62" s="4" t="inlineStr">
        <is>
          <t>F-017.2</t>
        </is>
      </c>
      <c r="B62" s="4" t="inlineStr">
        <is>
          <t>F-017</t>
        </is>
      </c>
      <c r="C62" s="4" t="inlineStr">
        <is>
          <t>Daily review cadence documented</t>
        </is>
      </c>
      <c r="D62" s="4" t="inlineStr">
        <is>
          <t>Matthew has a documented daily review of Sentry during alpha.</t>
        </is>
      </c>
      <c r="E62" s="4" t="inlineStr">
        <is>
          <t>Cadence in tester onboarding doc; first review completed by alpha day 1.</t>
        </is>
      </c>
      <c r="F62" s="4" t="inlineStr">
        <is>
          <t>not_started</t>
        </is>
      </c>
      <c r="G62" s="7" t="n">
        <v>0</v>
      </c>
      <c r="H62" s="4" t="n">
        <v>2</v>
      </c>
      <c r="I62" s="4" t="n">
        <v>0</v>
      </c>
      <c r="J62" s="4" t="inlineStr"/>
      <c r="K62" s="4" t="inlineStr">
        <is>
          <t>No documented daily Sentry review cadence; precondition (Sentry itself) also absent.</t>
        </is>
      </c>
    </row>
    <row r="63" ht="42" customHeight="1">
      <c r="A63" s="4" t="inlineStr">
        <is>
          <t>F-017.3</t>
        </is>
      </c>
      <c r="B63" s="4" t="inlineStr">
        <is>
          <t>F-017</t>
        </is>
      </c>
      <c r="C63" s="4" t="inlineStr">
        <is>
          <t>Source maps uploaded on build</t>
        </is>
      </c>
      <c r="D63" s="4" t="inlineStr">
        <is>
          <t>Production builds upload source maps to Sentry so stack traces resolve.</t>
        </is>
      </c>
      <c r="E63" s="4" t="inlineStr">
        <is>
          <t>Stack traces show original source file/line in Sentry UI.</t>
        </is>
      </c>
      <c r="F63" s="4" t="inlineStr">
        <is>
          <t>not_started</t>
        </is>
      </c>
      <c r="G63" s="7" t="n">
        <v>0</v>
      </c>
      <c r="H63" s="4" t="n">
        <v>2</v>
      </c>
      <c r="I63" s="4" t="n">
        <v>0</v>
      </c>
      <c r="J63" s="4" t="inlineStr"/>
      <c r="K63" s="4" t="inlineStr">
        <is>
          <t>vite.config.ts sets no sourcemap option (defaults false); no @sentry/vite-plugin; .github/workflows/ does not exist; build script invokes plain vite build with no source-map upload.</t>
        </is>
      </c>
    </row>
    <row r="64" ht="42" customHeight="1">
      <c r="A64" s="4" t="inlineStr">
        <is>
          <t>F-018.1</t>
        </is>
      </c>
      <c r="B64" s="4" t="inlineStr">
        <is>
          <t>F-018</t>
        </is>
      </c>
      <c r="C64" s="4" t="inlineStr">
        <is>
          <t>Invitation email template</t>
        </is>
      </c>
      <c r="D64" s="4" t="inlineStr">
        <is>
          <t>Warm, brief invitation framing 'first 10 people'; sets 7-day window + 30-min debrief expectation.</t>
        </is>
      </c>
      <c r="E64" s="4" t="inlineStr">
        <is>
          <t>Template approved by Trevor; sent through Resend.</t>
        </is>
      </c>
      <c r="F64" s="4" t="inlineStr">
        <is>
          <t>not_started</t>
        </is>
      </c>
      <c r="G64" s="7" t="n">
        <v>5</v>
      </c>
      <c r="H64" s="4" t="n">
        <v>3</v>
      </c>
      <c r="I64" s="4" t="n">
        <v>0</v>
      </c>
      <c r="J64" s="4" t="inlineStr"/>
      <c r="K64" s="4" t="inlineStr">
        <is>
          <t>Resend SDK pattern exists in send-framework-email (different feature). save-beta-tester explicitly disables email ('Resend integration not yet configured'). No invitation template (.html/.tsx/.md), no 'first 10'/'7-day'/'30-min debrief' language anywhere.</t>
        </is>
      </c>
    </row>
    <row r="65" ht="42" customHeight="1">
      <c r="A65" s="4" t="inlineStr">
        <is>
          <t>F-018.2</t>
        </is>
      </c>
      <c r="B65" s="4" t="inlineStr">
        <is>
          <t>F-018</t>
        </is>
      </c>
      <c r="C65" s="4" t="inlineStr">
        <is>
          <t>One-page Loom + written guide</t>
        </is>
      </c>
      <c r="D65" s="4" t="inlineStr">
        <is>
          <t>Short Loom recording + written one-pager covering: what we're testing, the three feedback moments, where to send bugs.</t>
        </is>
      </c>
      <c r="E65" s="4" t="inlineStr">
        <is>
          <t>Both assets live and linked from invitation email.</t>
        </is>
      </c>
      <c r="F65" s="4" t="inlineStr">
        <is>
          <t>not_started</t>
        </is>
      </c>
      <c r="G65" s="7" t="n">
        <v>10</v>
      </c>
      <c r="H65" s="4" t="n">
        <v>3</v>
      </c>
      <c r="I65" s="4" t="n">
        <v>0</v>
      </c>
      <c r="J65" s="4" t="inlineStr"/>
      <c r="K65" s="4" t="inlineStr">
        <is>
          <t>StartHere.tsx has a Vimeo (not Loom) intro video. No one-page written guide. Docs flag training content as missing (BRIEF_ANALYSIS_COMPREHENSIVE.md:288 'No training pages exist'). Not linked from any invitation.</t>
        </is>
      </c>
    </row>
    <row r="66" ht="42" customHeight="1">
      <c r="A66" s="4" t="inlineStr">
        <is>
          <t>F-018.3</t>
        </is>
      </c>
      <c r="B66" s="4" t="inlineStr">
        <is>
          <t>F-018</t>
        </is>
      </c>
      <c r="C66" s="4" t="inlineStr">
        <is>
          <t>In-app welcome screen</t>
        </is>
      </c>
      <c r="D66" s="4" t="inlineStr">
        <is>
          <t>Single-screen welcome acknowledging alpha state; names Trevor + framework.</t>
        </is>
      </c>
      <c r="E66" s="4" t="inlineStr">
        <is>
          <t>Welcome screen appears on first login; dismissable; no tutorial.</t>
        </is>
      </c>
      <c r="F66" s="4" t="inlineStr">
        <is>
          <t>in_progress</t>
        </is>
      </c>
      <c r="G66" s="7" t="n">
        <v>25</v>
      </c>
      <c r="H66" s="4" t="n">
        <v>2</v>
      </c>
      <c r="I66" s="4" t="n">
        <v>0</v>
      </c>
      <c r="J66" s="4" t="inlineStr"/>
      <c r="K66" s="4" t="inlineStr">
        <is>
          <t>BetaWelcome page exists at /beta with 'Beta Testing Program' framing + registration form, but does NOT auto-show on first login, does NOT name Trevor or the framework, is NOT dismissable, gated by localStorage not auth.</t>
        </is>
      </c>
    </row>
  </sheetData>
  <mergeCells count="1">
    <mergeCell ref="A1:K1"/>
  </mergeCells>
  <conditionalFormatting sqref="F3:F266">
    <cfRule type="cellIs" priority="1" operator="equal" dxfId="2">
      <formula>"complete"</formula>
    </cfRule>
    <cfRule type="cellIs" priority="2" operator="equal" dxfId="4">
      <formula>"in_review"</formula>
    </cfRule>
    <cfRule type="cellIs" priority="3" operator="equal" dxfId="1">
      <formula>"in_progress"</formula>
    </cfRule>
    <cfRule type="cellIs" priority="4" operator="equal" dxfId="0">
      <formula>"blocked"</formula>
    </cfRule>
    <cfRule type="cellIs" priority="5" operator="equal" dxfId="3">
      <formula>"not_started"</formula>
    </cfRule>
  </conditionalFormatting>
  <dataValidations count="1">
    <dataValidation sqref="F3:F266" showDropDown="0" showInputMessage="0" showErrorMessage="0" allowBlank="1" errorTitle="Invalid entry" error="Value must match one of the allowed options." type="list">
      <formula1>"not_started,in_progress,blocked,in_review,complete"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60" customWidth="1" min="3" max="3"/>
    <col width="28" customWidth="1" min="4" max="4"/>
    <col width="38" customWidth="1" min="5" max="5"/>
    <col width="50" customWidth="1" min="6" max="6"/>
  </cols>
  <sheetData>
    <row r="1" ht="32" customHeight="1">
      <c r="A1" s="1" t="inlineStr">
        <is>
          <t>Phase Gate — readiness gates by launch phase</t>
        </is>
      </c>
    </row>
    <row r="2">
      <c r="A2" s="2" t="inlineStr">
        <is>
          <t>Mirrors the readiness gates from the Launch Roadmap. gate_status = MET when every mapped feature is complete.</t>
        </is>
      </c>
    </row>
    <row r="4" ht="28" customHeight="1">
      <c r="A4" s="3" t="inlineStr">
        <is>
          <t>phase</t>
        </is>
      </c>
      <c r="B4" s="3" t="inlineStr">
        <is>
          <t>gate_name</t>
        </is>
      </c>
      <c r="C4" s="3" t="inlineStr">
        <is>
          <t>gate_requirement</t>
        </is>
      </c>
      <c r="D4" s="3" t="inlineStr">
        <is>
          <t>mapped_features</t>
        </is>
      </c>
      <c r="E4" s="3" t="inlineStr">
        <is>
          <t>gate_status</t>
        </is>
      </c>
      <c r="F4" s="3" t="inlineStr">
        <is>
          <t>notes</t>
        </is>
      </c>
    </row>
    <row r="5" ht="42" customHeight="1">
      <c r="A5" s="4" t="inlineStr">
        <is>
          <t>Alpha</t>
        </is>
      </c>
      <c r="B5" s="4" t="inlineStr">
        <is>
          <t>Layer 1 conversation</t>
        </is>
      </c>
      <c r="C5" s="4" t="inlineStr">
        <is>
          <t>All 10 questions function end-to-end. Fallback responses written in Trevor's voice. Canvas sidebar populates in real time.</t>
        </is>
      </c>
      <c r="D5" s="4" t="inlineStr">
        <is>
          <t>F-001,F-002</t>
        </is>
      </c>
      <c r="E5" s="4">
        <f>IF((COUNTIFS('Features'!$A$3:$A$72,"F-001",'Features'!$G$3:$G$72,"blocked")+COUNTIFS('Features'!$A$3:$A$72,"F-002",'Features'!$G$3:$G$72,"blocked"))&gt;0,"BLOCKED — see mapped features",IF((COUNTIFS('Features'!$A$3:$A$72,"F-001",'Features'!$G$3:$G$72,"complete")+COUNTIFS('Features'!$A$3:$A$72,"F-002",'Features'!$G$3:$G$72,"complete"))=2,"MET","OPEN — "&amp;(2-(COUNTIFS('Features'!$A$3:$A$72,"F-001",'Features'!$G$3:$G$72,"complete")+COUNTIFS('Features'!$A$3:$A$72,"F-002",'Features'!$G$3:$G$72,"complete")))&amp;" of 2 remaining"))</f>
        <v/>
      </c>
      <c r="F5" s="4" t="inlineStr">
        <is>
          <t>If the entry experience breaks, the tester never reaches anything else.</t>
        </is>
      </c>
    </row>
    <row r="6" ht="42" customHeight="1">
      <c r="A6" s="4" t="inlineStr">
        <is>
          <t>Alpha</t>
        </is>
      </c>
      <c r="B6" s="4" t="inlineStr">
        <is>
          <t>Draft Canvas</t>
        </is>
      </c>
      <c r="C6" s="4" t="inlineStr">
        <is>
          <t>Synthesis from Layer 1 produces a coherent canvas with DRAFT badge.</t>
        </is>
      </c>
      <c r="D6" s="4" t="inlineStr">
        <is>
          <t>F-003</t>
        </is>
      </c>
      <c r="E6" s="4">
        <f>IF((COUNTIFS('Features'!$A$3:$A$72,"F-003",'Features'!$G$3:$G$72,"blocked"))&gt;0,"BLOCKED — see mapped features",IF((COUNTIFS('Features'!$A$3:$A$72,"F-003",'Features'!$G$3:$G$72,"complete"))=1,"MET","OPEN — "&amp;(1-(COUNTIFS('Features'!$A$3:$A$72,"F-003",'Features'!$G$3:$G$72,"complete")))&amp;" of 1 remaining"))</f>
        <v/>
      </c>
      <c r="F6" s="4" t="inlineStr">
        <is>
          <t>The Draft-to-Forensic differential is the product's core demonstration of value.</t>
        </is>
      </c>
    </row>
    <row r="7" ht="42" customHeight="1">
      <c r="A7" s="4" t="inlineStr">
        <is>
          <t>Alpha</t>
        </is>
      </c>
      <c r="B7" s="4" t="inlineStr">
        <is>
          <t>Avatar Builder</t>
        </is>
      </c>
      <c r="C7" s="4" t="inlineStr">
        <is>
          <t>All sections accept input, persist, and surface AI assistance modes. NB reconcile the 4 sections with the new 5-stage conversational flow ending in The Signature (F-060) — pending sign-off.</t>
        </is>
      </c>
      <c r="D7" s="4" t="inlineStr">
        <is>
          <t>F-004,F-005,F-006,F-007,F-009</t>
        </is>
      </c>
      <c r="E7" s="4">
        <f>IF((COUNTIFS('Features'!$A$3:$A$72,"F-004",'Features'!$G$3:$G$72,"blocked")+COUNTIFS('Features'!$A$3:$A$72,"F-005",'Features'!$G$3:$G$72,"blocked")+COUNTIFS('Features'!$A$3:$A$72,"F-006",'Features'!$G$3:$G$72,"blocked")+COUNTIFS('Features'!$A$3:$A$72,"F-007",'Features'!$G$3:$G$72,"blocked")+COUNTIFS('Features'!$A$3:$A$72,"F-009",'Features'!$G$3:$G$72,"blocked"))&gt;0,"BLOCKED — see mapped features",IF((COUNTIFS('Features'!$A$3:$A$72,"F-004",'Features'!$G$3:$G$72,"complete")+COUNTIFS('Features'!$A$3:$A$72,"F-005",'Features'!$G$3:$G$72,"complete")+COUNTIFS('Features'!$A$3:$A$72,"F-006",'Features'!$G$3:$G$72,"complete")+COUNTIFS('Features'!$A$3:$A$72,"F-007",'Features'!$G$3:$G$72,"complete")+COUNTIFS('Features'!$A$3:$A$72,"F-009",'Features'!$G$3:$G$72,"complete"))=5,"MET","OPEN — "&amp;(5-(COUNTIFS('Features'!$A$3:$A$72,"F-004",'Features'!$G$3:$G$72,"complete")+COUNTIFS('Features'!$A$3:$A$72,"F-005",'Features'!$G$3:$G$72,"complete")+COUNTIFS('Features'!$A$3:$A$72,"F-006",'Features'!$G$3:$G$72,"complete")+COUNTIFS('Features'!$A$3:$A$72,"F-007",'Features'!$G$3:$G$72,"complete")+COUNTIFS('Features'!$A$3:$A$72,"F-009",'Features'!$G$3:$G$72,"complete")))&amp;" of 5 remaining"))</f>
        <v/>
      </c>
      <c r="F7" s="4" t="inlineStr">
        <is>
          <t>This is the product per Trevor's Respec.</t>
        </is>
      </c>
    </row>
    <row r="8" ht="42" customHeight="1">
      <c r="A8" s="4" t="inlineStr">
        <is>
          <t>Alpha</t>
        </is>
      </c>
      <c r="B8" s="4" t="inlineStr">
        <is>
          <t>Forensic Canvas</t>
        </is>
      </c>
      <c r="C8" s="4" t="inlineStr">
        <is>
          <t>All 28+ fields render, auto-populated from Avatar data. The Decision Trigger™ displayed prominently.</t>
        </is>
      </c>
      <c r="D8" s="4" t="inlineStr">
        <is>
          <t>F-008</t>
        </is>
      </c>
      <c r="E8" s="4">
        <f>IF((COUNTIFS('Features'!$A$3:$A$72,"F-008",'Features'!$G$3:$G$72,"blocked"))&gt;0,"BLOCKED — see mapped features",IF((COUNTIFS('Features'!$A$3:$A$72,"F-008",'Features'!$G$3:$G$72,"complete"))=1,"MET","OPEN — "&amp;(1-(COUNTIFS('Features'!$A$3:$A$72,"F-008",'Features'!$G$3:$G$72,"complete")))&amp;" of 1 remaining"))</f>
        <v/>
      </c>
      <c r="F8" s="4" t="inlineStr">
        <is>
          <t>Trevor flagged Trigger Moment as the single most important field.</t>
        </is>
      </c>
    </row>
    <row r="9" ht="42" customHeight="1">
      <c r="A9" s="4" t="inlineStr">
        <is>
          <t>Alpha</t>
        </is>
      </c>
      <c r="B9" s="4" t="inlineStr">
        <is>
          <t>Manual edit lock</t>
        </is>
      </c>
      <c r="C9" s="4" t="inlineStr">
        <is>
          <t>Manually edited fields are flagged. AI never overwrites them silently.</t>
        </is>
      </c>
      <c r="D9" s="4" t="inlineStr">
        <is>
          <t>F-011</t>
        </is>
      </c>
      <c r="E9" s="4">
        <f>IF((COUNTIFS('Features'!$A$3:$A$72,"F-011",'Features'!$G$3:$G$72,"blocked"))&gt;0,"BLOCKED — see mapped features",IF((COUNTIFS('Features'!$A$3:$A$72,"F-011",'Features'!$G$3:$G$72,"complete"))=1,"MET","OPEN — "&amp;(1-(COUNTIFS('Features'!$A$3:$A$72,"F-011",'Features'!$G$3:$G$72,"complete")))&amp;" of 1 remaining"))</f>
        <v/>
      </c>
      <c r="F9" s="4" t="inlineStr">
        <is>
          <t>Trust foundation. Existing PRD constraint.</t>
        </is>
      </c>
    </row>
    <row r="10" ht="42" customHeight="1">
      <c r="A10" s="4" t="inlineStr">
        <is>
          <t>Alpha</t>
        </is>
      </c>
      <c r="B10" s="4" t="inlineStr">
        <is>
          <t>Feedback capture</t>
        </is>
      </c>
      <c r="C10" s="4" t="inlineStr">
        <is>
          <t>Three feedback moments wired. Responses route to a single sheet Matthew can monitor.</t>
        </is>
      </c>
      <c r="D10" s="4" t="inlineStr">
        <is>
          <t>F-013,F-014,F-015,F-016</t>
        </is>
      </c>
      <c r="E10" s="4">
        <f>IF((COUNTIFS('Features'!$A$3:$A$72,"F-013",'Features'!$G$3:$G$72,"blocked")+COUNTIFS('Features'!$A$3:$A$72,"F-014",'Features'!$G$3:$G$72,"blocked")+COUNTIFS('Features'!$A$3:$A$72,"F-015",'Features'!$G$3:$G$72,"blocked")+COUNTIFS('Features'!$A$3:$A$72,"F-016",'Features'!$G$3:$G$72,"blocked"))&gt;0,"BLOCKED — see mapped features",IF((COUNTIFS('Features'!$A$3:$A$72,"F-013",'Features'!$G$3:$G$72,"complete")+COUNTIFS('Features'!$A$3:$A$72,"F-014",'Features'!$G$3:$G$72,"complete")+COUNTIFS('Features'!$A$3:$A$72,"F-015",'Features'!$G$3:$G$72,"complete")+COUNTIFS('Features'!$A$3:$A$72,"F-016",'Features'!$G$3:$G$72,"complete"))=4,"MET","OPEN — "&amp;(4-(COUNTIFS('Features'!$A$3:$A$72,"F-013",'Features'!$G$3:$G$72,"complete")+COUNTIFS('Features'!$A$3:$A$72,"F-014",'Features'!$G$3:$G$72,"complete")+COUNTIFS('Features'!$A$3:$A$72,"F-015",'Features'!$G$3:$G$72,"complete")+COUNTIFS('Features'!$A$3:$A$72,"F-016",'Features'!$G$3:$G$72,"complete")))&amp;" of 4 remaining"))</f>
        <v/>
      </c>
      <c r="F10" s="4" t="inlineStr">
        <is>
          <t>No feedback infrastructure = no learning.</t>
        </is>
      </c>
    </row>
    <row r="11" ht="42" customHeight="1">
      <c r="A11" s="4" t="inlineStr">
        <is>
          <t>Alpha</t>
        </is>
      </c>
      <c r="B11" s="4" t="inlineStr">
        <is>
          <t>Error monitoring</t>
        </is>
      </c>
      <c r="C11" s="4" t="inlineStr">
        <is>
          <t>Sentry or equivalent active. Errors visible before testers report them.</t>
        </is>
      </c>
      <c r="D11" s="4" t="inlineStr">
        <is>
          <t>F-017</t>
        </is>
      </c>
      <c r="E11" s="4">
        <f>IF((COUNTIFS('Features'!$A$3:$A$72,"F-017",'Features'!$G$3:$G$72,"blocked"))&gt;0,"BLOCKED — see mapped features",IF((COUNTIFS('Features'!$A$3:$A$72,"F-017",'Features'!$G$3:$G$72,"complete"))=1,"MET","OPEN — "&amp;(1-(COUNTIFS('Features'!$A$3:$A$72,"F-017",'Features'!$G$3:$G$72,"complete")))&amp;" of 1 remaining"))</f>
        <v/>
      </c>
      <c r="F11" s="4" t="inlineStr"/>
    </row>
    <row r="12" ht="42" customHeight="1">
      <c r="A12" s="4" t="inlineStr">
        <is>
          <t>Alpha</t>
        </is>
      </c>
      <c r="B12" s="4" t="inlineStr">
        <is>
          <t>Tester onboarding doc</t>
        </is>
      </c>
      <c r="C12" s="4" t="inlineStr">
        <is>
          <t>One-page Loom + written guide. Sets expectation that this is alpha and frames feedback constructively.</t>
        </is>
      </c>
      <c r="D12" s="4" t="inlineStr">
        <is>
          <t>F-018</t>
        </is>
      </c>
      <c r="E12" s="4">
        <f>IF((COUNTIFS('Features'!$A$3:$A$72,"F-018",'Features'!$G$3:$G$72,"blocked"))&gt;0,"BLOCKED — see mapped features",IF((COUNTIFS('Features'!$A$3:$A$72,"F-018",'Features'!$G$3:$G$72,"complete"))=1,"MET","OPEN — "&amp;(1-(COUNTIFS('Features'!$A$3:$A$72,"F-018",'Features'!$G$3:$G$72,"complete")))&amp;" of 1 remaining"))</f>
        <v/>
      </c>
      <c r="F12" s="4" t="inlineStr"/>
    </row>
    <row r="13" ht="42" customHeight="1">
      <c r="A13" s="4" t="inlineStr">
        <is>
          <t>Alpha</t>
        </is>
      </c>
      <c r="B13" s="4" t="inlineStr">
        <is>
          <t>Architectural decision (Lovable vs existing)</t>
        </is>
      </c>
      <c r="C13" s="4" t="inlineStr">
        <is>
          <t>Decide explicitly which codebase is canonical for Gen 3. Don't half-port.</t>
        </is>
      </c>
      <c r="D13" s="4" t="inlineStr">
        <is>
          <t>F-052</t>
        </is>
      </c>
      <c r="E13" s="4">
        <f>IF((COUNTIFS('Features'!$A$3:$A$72,"F-052",'Features'!$G$3:$G$72,"blocked"))&gt;0,"BLOCKED — see mapped features",IF((COUNTIFS('Features'!$A$3:$A$72,"F-052",'Features'!$G$3:$G$72,"complete"))=1,"MET","OPEN — "&amp;(1-(COUNTIFS('Features'!$A$3:$A$72,"F-052",'Features'!$G$3:$G$72,"complete")))&amp;" of 1 remaining"))</f>
        <v/>
      </c>
      <c r="F13" s="4" t="inlineStr">
        <is>
          <t>Risk Register: Critical. Two parallel codebases active &gt;1 week triggers escalation.</t>
        </is>
      </c>
    </row>
    <row r="14" ht="42" customHeight="1">
      <c r="A14" s="4" t="inlineStr">
        <is>
          <t>Beta</t>
        </is>
      </c>
      <c r="B14" s="4" t="inlineStr">
        <is>
          <t>Alpha findings synthesised</t>
        </is>
      </c>
      <c r="C14" s="4" t="inlineStr">
        <is>
          <t>One-page findings doc. Top 3 product gaps named.</t>
        </is>
      </c>
      <c r="D14" s="4" t="inlineStr">
        <is>
          <t>F-016</t>
        </is>
      </c>
      <c r="E14" s="4">
        <f>IF((COUNTIFS('Features'!$A$3:$A$72,"F-016",'Features'!$G$3:$G$72,"blocked"))&gt;0,"BLOCKED — see mapped features",IF((COUNTIFS('Features'!$A$3:$A$72,"F-016",'Features'!$G$3:$G$72,"complete"))=1,"MET","OPEN — "&amp;(1-(COUNTIFS('Features'!$A$3:$A$72,"F-016",'Features'!$G$3:$G$72,"complete")))&amp;" of 1 remaining"))</f>
        <v/>
      </c>
      <c r="F14" s="4" t="inlineStr">
        <is>
          <t>Synthesis is a Matthew + Trevor activity; tracked via feedback sheet readiness.</t>
        </is>
      </c>
    </row>
    <row r="15" ht="42" customHeight="1">
      <c r="A15" s="4" t="inlineStr">
        <is>
          <t>Beta</t>
        </is>
      </c>
      <c r="B15" s="4" t="inlineStr">
        <is>
          <t>Pay gate functional</t>
        </is>
      </c>
      <c r="C15" s="4" t="inlineStr">
        <is>
          <t>Stripe integrated. Both pricing options tested. Post-payment action menu wired.</t>
        </is>
      </c>
      <c r="D15" s="4" t="inlineStr">
        <is>
          <t>F-019</t>
        </is>
      </c>
      <c r="E15" s="4">
        <f>IF((COUNTIFS('Features'!$A$3:$A$72,"F-019",'Features'!$G$3:$G$72,"blocked"))&gt;0,"BLOCKED — see mapped features",IF((COUNTIFS('Features'!$A$3:$A$72,"F-019",'Features'!$G$3:$G$72,"complete"))=1,"MET","OPEN — "&amp;(1-(COUNTIFS('Features'!$A$3:$A$72,"F-019",'Features'!$G$3:$G$72,"complete")))&amp;" of 1 remaining"))</f>
        <v/>
      </c>
      <c r="F15" s="4" t="inlineStr">
        <is>
          <t>Central conversion test of beta.</t>
        </is>
      </c>
    </row>
    <row r="16" ht="42" customHeight="1">
      <c r="A16" s="4" t="inlineStr">
        <is>
          <t>Beta</t>
        </is>
      </c>
      <c r="B16" s="4" t="inlineStr">
        <is>
          <t>Create mode v1</t>
        </is>
      </c>
      <c r="C16" s="4" t="inlineStr">
        <is>
          <t>At minimum: Amazon listing copy + Brand Voice Guide. Forensic canvas drives outputs.</t>
        </is>
      </c>
      <c r="D16" s="4" t="inlineStr">
        <is>
          <t>F-020,F-021</t>
        </is>
      </c>
      <c r="E16" s="4">
        <f>IF((COUNTIFS('Features'!$A$3:$A$72,"F-020",'Features'!$G$3:$G$72,"blocked")+COUNTIFS('Features'!$A$3:$A$72,"F-021",'Features'!$G$3:$G$72,"blocked"))&gt;0,"BLOCKED — see mapped features",IF((COUNTIFS('Features'!$A$3:$A$72,"F-020",'Features'!$G$3:$G$72,"complete")+COUNTIFS('Features'!$A$3:$A$72,"F-021",'Features'!$G$3:$G$72,"complete"))=2,"MET","OPEN — "&amp;(2-(COUNTIFS('Features'!$A$3:$A$72,"F-020",'Features'!$G$3:$G$72,"complete")+COUNTIFS('Features'!$A$3:$A$72,"F-021",'Features'!$G$3:$G$72,"complete")))&amp;" of 2 remaining"))</f>
        <v/>
      </c>
      <c r="F16" s="4" t="inlineStr">
        <is>
          <t>Pay-gate previews need real outputs to anchor to.</t>
        </is>
      </c>
    </row>
    <row r="17" ht="42" customHeight="1">
      <c r="A17" s="4" t="inlineStr">
        <is>
          <t>Beta</t>
        </is>
      </c>
      <c r="B17" s="4" t="inlineStr">
        <is>
          <t>Coach mode v1</t>
        </is>
      </c>
      <c r="C17" s="4" t="inlineStr">
        <is>
          <t>Open conversation with full canvas as context. Document upload supported.</t>
        </is>
      </c>
      <c r="D17" s="4" t="inlineStr">
        <is>
          <t>F-022</t>
        </is>
      </c>
      <c r="E17" s="4">
        <f>IF((COUNTIFS('Features'!$A$3:$A$72,"F-022",'Features'!$G$3:$G$72,"blocked"))&gt;0,"BLOCKED — see mapped features",IF((COUNTIFS('Features'!$A$3:$A$72,"F-022",'Features'!$G$3:$G$72,"complete"))=1,"MET","OPEN — "&amp;(1-(COUNTIFS('Features'!$A$3:$A$72,"F-022",'Features'!$G$3:$G$72,"complete")))&amp;" of 1 remaining"))</f>
        <v/>
      </c>
      <c r="F17" s="4" t="inlineStr">
        <is>
          <t>Required for the £29/mo subscription value prop.</t>
        </is>
      </c>
    </row>
    <row r="18" ht="42" customHeight="1">
      <c r="A18" s="4" t="inlineStr">
        <is>
          <t>Beta</t>
        </is>
      </c>
      <c r="B18" s="4" t="inlineStr">
        <is>
          <t>Export</t>
        </is>
      </c>
      <c r="C18" s="4" t="inlineStr">
        <is>
          <t>PDF + Word for both Draft and Forensic canvases.</t>
        </is>
      </c>
      <c r="D18" s="4" t="inlineStr">
        <is>
          <t>F-023</t>
        </is>
      </c>
      <c r="E18" s="4">
        <f>IF((COUNTIFS('Features'!$A$3:$A$72,"F-023",'Features'!$G$3:$G$72,"blocked"))&gt;0,"BLOCKED — see mapped features",IF((COUNTIFS('Features'!$A$3:$A$72,"F-023",'Features'!$G$3:$G$72,"complete"))=1,"MET","OPEN — "&amp;(1-(COUNTIFS('Features'!$A$3:$A$72,"F-023",'Features'!$G$3:$G$72,"complete")))&amp;" of 1 remaining"))</f>
        <v/>
      </c>
      <c r="F18" s="4" t="inlineStr"/>
    </row>
    <row r="19" ht="42" customHeight="1">
      <c r="A19" s="4" t="inlineStr">
        <is>
          <t>Beta</t>
        </is>
      </c>
      <c r="B19" s="4" t="inlineStr">
        <is>
          <t>Asset Inventory decision</t>
        </is>
      </c>
      <c r="C19" s="4" t="inlineStr">
        <is>
          <t>Built or formally deferred based on Alpha % flagging asset-update demand.</t>
        </is>
      </c>
      <c r="D19" s="4" t="inlineStr">
        <is>
          <t>F-028</t>
        </is>
      </c>
      <c r="E19" s="4">
        <f>IF((COUNTIFS('Features'!$A$3:$A$72,"F-028",'Features'!$G$3:$G$72,"blocked"))&gt;0,"BLOCKED — see mapped features",IF((COUNTIFS('Features'!$A$3:$A$72,"F-028",'Features'!$G$3:$G$72,"complete"))=1,"MET","OPEN — "&amp;(1-(COUNTIFS('Features'!$A$3:$A$72,"F-028",'Features'!$G$3:$G$72,"complete")))&amp;" of 1 remaining"))</f>
        <v/>
      </c>
      <c r="F19" s="4" t="inlineStr">
        <is>
          <t>Default is NO. Decision lives in F-028 notes.</t>
        </is>
      </c>
    </row>
    <row r="20" ht="42" customHeight="1">
      <c r="A20" s="4" t="inlineStr">
        <is>
          <t>Beta</t>
        </is>
      </c>
      <c r="B20" s="4" t="inlineStr">
        <is>
          <t>Analytics + funnel tracking</t>
        </is>
      </c>
      <c r="C20" s="4" t="inlineStr">
        <is>
          <t>PostHog or Mixpanel events on every funnel step. Cohort analysis possible.</t>
        </is>
      </c>
      <c r="D20" s="4" t="inlineStr">
        <is>
          <t>F-024</t>
        </is>
      </c>
      <c r="E20" s="4">
        <f>IF((COUNTIFS('Features'!$A$3:$A$72,"F-024",'Features'!$G$3:$G$72,"blocked"))&gt;0,"BLOCKED — see mapped features",IF((COUNTIFS('Features'!$A$3:$A$72,"F-024",'Features'!$G$3:$G$72,"complete"))=1,"MET","OPEN — "&amp;(1-(COUNTIFS('Features'!$A$3:$A$72,"F-024",'Features'!$G$3:$G$72,"complete")))&amp;" of 1 remaining"))</f>
        <v/>
      </c>
      <c r="F20" s="4" t="inlineStr"/>
    </row>
    <row r="21" ht="42" customHeight="1">
      <c r="A21" s="4" t="inlineStr">
        <is>
          <t>Beta</t>
        </is>
      </c>
      <c r="B21" s="4" t="inlineStr">
        <is>
          <t>Support workflow</t>
        </is>
      </c>
      <c r="C21" s="4" t="inlineStr">
        <is>
          <t>Intercom (or email) inbox with documented SLA.</t>
        </is>
      </c>
      <c r="D21" s="4" t="inlineStr">
        <is>
          <t>F-025</t>
        </is>
      </c>
      <c r="E21" s="4">
        <f>IF((COUNTIFS('Features'!$A$3:$A$72,"F-025",'Features'!$G$3:$G$72,"blocked"))&gt;0,"BLOCKED — see mapped features",IF((COUNTIFS('Features'!$A$3:$A$72,"F-025",'Features'!$G$3:$G$72,"complete"))=1,"MET","OPEN — "&amp;(1-(COUNTIFS('Features'!$A$3:$A$72,"F-025",'Features'!$G$3:$G$72,"complete")))&amp;" of 1 remaining"))</f>
        <v/>
      </c>
      <c r="F21" s="4" t="inlineStr"/>
    </row>
    <row r="22" ht="42" customHeight="1">
      <c r="A22" s="4" t="inlineStr">
        <is>
          <t>Beta</t>
        </is>
      </c>
      <c r="B22" s="4" t="inlineStr">
        <is>
          <t>Brand Diagnostic integration</t>
        </is>
      </c>
      <c r="C22" s="4" t="inlineStr">
        <is>
          <t>Dynamic CTA, score handoff into Layer 1, refreshed visual identity.</t>
        </is>
      </c>
      <c r="D22" s="4" t="inlineStr">
        <is>
          <t>F-027</t>
        </is>
      </c>
      <c r="E22" s="4">
        <f>IF((COUNTIFS('Features'!$A$3:$A$72,"F-027",'Features'!$G$3:$G$72,"blocked"))&gt;0,"BLOCKED — see mapped features",IF((COUNTIFS('Features'!$A$3:$A$72,"F-027",'Features'!$G$3:$G$72,"complete"))=1,"MET","OPEN — "&amp;(1-(COUNTIFS('Features'!$A$3:$A$72,"F-027",'Features'!$G$3:$G$72,"complete")))&amp;" of 1 remaining"))</f>
        <v/>
      </c>
      <c r="F22" s="4" t="inlineStr"/>
    </row>
    <row r="23" ht="42" customHeight="1">
      <c r="A23" s="4" t="inlineStr">
        <is>
          <t>GA</t>
        </is>
      </c>
      <c r="B23" s="4" t="inlineStr">
        <is>
          <t>My Brands dashboard</t>
        </is>
      </c>
      <c r="C23" s="4" t="inlineStr">
        <is>
          <t>Multi-brand support. Users can manage 2+ brands. Brand switcher works.</t>
        </is>
      </c>
      <c r="D23" s="4" t="inlineStr">
        <is>
          <t>F-031</t>
        </is>
      </c>
      <c r="E23" s="4">
        <f>IF((COUNTIFS('Features'!$A$3:$A$72,"F-031",'Features'!$G$3:$G$72,"blocked"))&gt;0,"BLOCKED — see mapped features",IF((COUNTIFS('Features'!$A$3:$A$72,"F-031",'Features'!$G$3:$G$72,"complete"))=1,"MET","OPEN — "&amp;(1-(COUNTIFS('Features'!$A$3:$A$72,"F-031",'Features'!$G$3:$G$72,"complete")))&amp;" of 1 remaining"))</f>
        <v/>
      </c>
      <c r="F23" s="4" t="inlineStr"/>
    </row>
    <row r="24" ht="42" customHeight="1">
      <c r="A24" s="4" t="inlineStr">
        <is>
          <t>GA</t>
        </is>
      </c>
      <c r="B24" s="4" t="inlineStr">
        <is>
          <t>Anonymous-to-authenticated migration</t>
        </is>
      </c>
      <c r="C24" s="4" t="inlineStr">
        <is>
          <t>Diagnostic completers without accounts have their data preserved when they sign up.</t>
        </is>
      </c>
      <c r="D24" s="4" t="inlineStr">
        <is>
          <t>F-032</t>
        </is>
      </c>
      <c r="E24" s="4">
        <f>IF((COUNTIFS('Features'!$A$3:$A$72,"F-032",'Features'!$G$3:$G$72,"blocked"))&gt;0,"BLOCKED — see mapped features",IF((COUNTIFS('Features'!$A$3:$A$72,"F-032",'Features'!$G$3:$G$72,"complete"))=1,"MET","OPEN — "&amp;(1-(COUNTIFS('Features'!$A$3:$A$72,"F-032",'Features'!$G$3:$G$72,"complete")))&amp;" of 1 remaining"))</f>
        <v/>
      </c>
      <c r="F24" s="4" t="inlineStr"/>
    </row>
    <row r="25" ht="42" customHeight="1">
      <c r="A25" s="4" t="inlineStr">
        <is>
          <t>GA</t>
        </is>
      </c>
      <c r="B25" s="4" t="inlineStr">
        <is>
          <t>Self-serve onboarding</t>
        </is>
      </c>
      <c r="C25" s="4" t="inlineStr">
        <is>
          <t>Tooltip-light onboarding tour. No human needed to start.</t>
        </is>
      </c>
      <c r="D25" s="4" t="inlineStr">
        <is>
          <t>F-033</t>
        </is>
      </c>
      <c r="E25" s="4">
        <f>IF((COUNTIFS('Features'!$A$3:$A$72,"F-033",'Features'!$G$3:$G$72,"blocked"))&gt;0,"BLOCKED — see mapped features",IF((COUNTIFS('Features'!$A$3:$A$72,"F-033",'Features'!$G$3:$G$72,"complete"))=1,"MET","OPEN — "&amp;(1-(COUNTIFS('Features'!$A$3:$A$72,"F-033",'Features'!$G$3:$G$72,"complete")))&amp;" of 1 remaining"))</f>
        <v/>
      </c>
      <c r="F25" s="4" t="inlineStr"/>
    </row>
    <row r="26" ht="42" customHeight="1">
      <c r="A26" s="4" t="inlineStr">
        <is>
          <t>GA</t>
        </is>
      </c>
      <c r="B26" s="4" t="inlineStr">
        <is>
          <t>Pricing finalised</t>
        </is>
      </c>
      <c r="C26" s="4" t="inlineStr">
        <is>
          <t>Pricing tested in beta. Tier structure final. Annual option live.</t>
        </is>
      </c>
      <c r="D26" s="4" t="inlineStr">
        <is>
          <t>F-034</t>
        </is>
      </c>
      <c r="E26" s="4">
        <f>IF((COUNTIFS('Features'!$A$3:$A$72,"F-034",'Features'!$G$3:$G$72,"blocked"))&gt;0,"BLOCKED — see mapped features",IF((COUNTIFS('Features'!$A$3:$A$72,"F-034",'Features'!$G$3:$G$72,"complete"))=1,"MET","OPEN — "&amp;(1-(COUNTIFS('Features'!$A$3:$A$72,"F-034",'Features'!$G$3:$G$72,"complete")))&amp;" of 1 remaining"))</f>
        <v/>
      </c>
      <c r="F26" s="4" t="inlineStr"/>
    </row>
    <row r="27" ht="42" customHeight="1">
      <c r="A27" s="4" t="inlineStr">
        <is>
          <t>GA</t>
        </is>
      </c>
      <c r="B27" s="4" t="inlineStr">
        <is>
          <t>Refund policy + ToS + Privacy</t>
        </is>
      </c>
      <c r="C27" s="4" t="inlineStr">
        <is>
          <t>Standard SaaS refund (14-day no-questions). Privacy policy. Terms of service.</t>
        </is>
      </c>
      <c r="D27" s="4" t="inlineStr">
        <is>
          <t>F-037</t>
        </is>
      </c>
      <c r="E27" s="4">
        <f>IF((COUNTIFS('Features'!$A$3:$A$72,"F-037",'Features'!$G$3:$G$72,"blocked"))&gt;0,"BLOCKED — see mapped features",IF((COUNTIFS('Features'!$A$3:$A$72,"F-037",'Features'!$G$3:$G$72,"complete"))=1,"MET","OPEN — "&amp;(1-(COUNTIFS('Features'!$A$3:$A$72,"F-037",'Features'!$G$3:$G$72,"complete")))&amp;" of 1 remaining"))</f>
        <v/>
      </c>
      <c r="F27" s="4" t="inlineStr"/>
    </row>
    <row r="28" ht="42" customHeight="1">
      <c r="A28" s="4" t="inlineStr">
        <is>
          <t>GA</t>
        </is>
      </c>
      <c r="B28" s="4" t="inlineStr">
        <is>
          <t>Status page</t>
        </is>
      </c>
      <c r="C28" s="4" t="inlineStr">
        <is>
          <t>Public uptime page. Incident communication channel.</t>
        </is>
      </c>
      <c r="D28" s="4" t="inlineStr">
        <is>
          <t>F-035</t>
        </is>
      </c>
      <c r="E28" s="4">
        <f>IF((COUNTIFS('Features'!$A$3:$A$72,"F-035",'Features'!$G$3:$G$72,"blocked"))&gt;0,"BLOCKED — see mapped features",IF((COUNTIFS('Features'!$A$3:$A$72,"F-035",'Features'!$G$3:$G$72,"complete"))=1,"MET","OPEN — "&amp;(1-(COUNTIFS('Features'!$A$3:$A$72,"F-035",'Features'!$G$3:$G$72,"complete")))&amp;" of 1 remaining"))</f>
        <v/>
      </c>
      <c r="F28" s="4" t="inlineStr"/>
    </row>
    <row r="29" ht="42" customHeight="1">
      <c r="A29" s="4" t="inlineStr">
        <is>
          <t>GA</t>
        </is>
      </c>
      <c r="B29" s="4" t="inlineStr">
        <is>
          <t>Knowledge base</t>
        </is>
      </c>
      <c r="C29" s="4" t="inlineStr">
        <is>
          <t>10–20 articles covering common questions from beta support.</t>
        </is>
      </c>
      <c r="D29" s="4" t="inlineStr">
        <is>
          <t>F-036</t>
        </is>
      </c>
      <c r="E29" s="4">
        <f>IF((COUNTIFS('Features'!$A$3:$A$72,"F-036",'Features'!$G$3:$G$72,"blocked"))&gt;0,"BLOCKED — see mapped features",IF((COUNTIFS('Features'!$A$3:$A$72,"F-036",'Features'!$G$3:$G$72,"complete"))=1,"MET","OPEN — "&amp;(1-(COUNTIFS('Features'!$A$3:$A$72,"F-036",'Features'!$G$3:$G$72,"complete")))&amp;" of 1 remaining"))</f>
        <v/>
      </c>
      <c r="F29" s="4" t="inlineStr"/>
    </row>
    <row r="30" ht="42" customHeight="1">
      <c r="A30" s="4" t="inlineStr">
        <is>
          <t>GA</t>
        </is>
      </c>
      <c r="B30" s="4" t="inlineStr">
        <is>
          <t>Pricing page</t>
        </is>
      </c>
      <c r="C30" s="4" t="inlineStr">
        <is>
          <t>Pricing page that converts cold traffic. Beta tested.</t>
        </is>
      </c>
      <c r="D30" s="4" t="inlineStr">
        <is>
          <t>F-034</t>
        </is>
      </c>
      <c r="E30" s="4">
        <f>IF((COUNTIFS('Features'!$A$3:$A$72,"F-034",'Features'!$G$3:$G$72,"blocked"))&gt;0,"BLOCKED — see mapped features",IF((COUNTIFS('Features'!$A$3:$A$72,"F-034",'Features'!$G$3:$G$72,"complete"))=1,"MET","OPEN — "&amp;(1-(COUNTIFS('Features'!$A$3:$A$72,"F-034",'Features'!$G$3:$G$72,"complete")))&amp;" of 1 remaining"))</f>
        <v/>
      </c>
      <c r="F30" s="4" t="inlineStr"/>
    </row>
    <row r="31" ht="42" customHeight="1">
      <c r="A31" s="4" t="inlineStr">
        <is>
          <t>GA</t>
        </is>
      </c>
      <c r="B31" s="4" t="inlineStr">
        <is>
          <t>Performance metrics tracking</t>
        </is>
      </c>
      <c r="C31" s="4" t="inlineStr">
        <is>
          <t>Per-avatar manual entry of ROAS, CTR, CPA, conversion rate, custom metrics.</t>
        </is>
      </c>
      <c r="D31" s="4" t="inlineStr">
        <is>
          <t>F-038</t>
        </is>
      </c>
      <c r="E31" s="4">
        <f>IF((COUNTIFS('Features'!$A$3:$A$72,"F-038",'Features'!$G$3:$G$72,"blocked"))&gt;0,"BLOCKED — see mapped features",IF((COUNTIFS('Features'!$A$3:$A$72,"F-038",'Features'!$G$3:$G$72,"complete"))=1,"MET","OPEN — "&amp;(1-(COUNTIFS('Features'!$A$3:$A$72,"F-038",'Features'!$G$3:$G$72,"complete")))&amp;" of 1 remaining"))</f>
        <v/>
      </c>
      <c r="F31" s="4" t="inlineStr">
        <is>
          <t>OPEN QUESTION: Gen 3 spec does not address; existing V2 PRD scopes it. Treated here as GA P0 pending Matthew sign-off.</t>
        </is>
      </c>
    </row>
    <row r="32" ht="42" customHeight="1">
      <c r="A32" s="4" t="inlineStr">
        <is>
          <t>Alpha</t>
        </is>
      </c>
      <c r="B32" s="4" t="inlineStr">
        <is>
          <t>Trust Gap™ Score lands</t>
        </is>
      </c>
      <c r="C32" s="4" t="inlineStr">
        <is>
          <t>Tester sees an aggregated Trust Gap™ Score + widest-gap pillar and feels it's accurate; the bridge explains why building the avatar is next.</t>
        </is>
      </c>
      <c r="D32" s="4" t="inlineStr">
        <is>
          <t>F-057,F-059</t>
        </is>
      </c>
      <c r="E32" s="4">
        <f>IF((COUNTIFS('Features'!$A$3:$A$72,"F-057",'Features'!$G$3:$G$72,"blocked")+COUNTIFS('Features'!$A$3:$A$72,"F-059",'Features'!$G$3:$G$72,"blocked"))&gt;0,"BLOCKED — see mapped features",IF((COUNTIFS('Features'!$A$3:$A$72,"F-057",'Features'!$G$3:$G$72,"complete")+COUNTIFS('Features'!$A$3:$A$72,"F-059",'Features'!$G$3:$G$72,"complete"))=2,"MET","OPEN — "&amp;(2-(COUNTIFS('Features'!$A$3:$A$72,"F-057",'Features'!$G$3:$G$72,"complete")+COUNTIFS('Features'!$A$3:$A$72,"F-059",'Features'!$G$3:$G$72,"complete")))&amp;" of 2 remaining"))</f>
        <v/>
      </c>
      <c r="F32" s="4" t="inlineStr">
        <is>
          <t>The #1 thing to validate (Trevor). If the score doesn't resonate, nothing downstream matters.</t>
        </is>
      </c>
    </row>
    <row r="33" ht="42" customHeight="1">
      <c r="A33" s="4" t="inlineStr">
        <is>
          <t>Alpha</t>
        </is>
      </c>
      <c r="B33" s="4" t="inlineStr">
        <is>
          <t>The Signature</t>
        </is>
      </c>
      <c r="C33" s="4" t="inlineStr">
        <is>
          <t>Tester produces a one-sentence Signature they recognise as true and had not previously articulated.</t>
        </is>
      </c>
      <c r="D33" s="4" t="inlineStr">
        <is>
          <t>F-060</t>
        </is>
      </c>
      <c r="E33" s="4">
        <f>IF((COUNTIFS('Features'!$A$3:$A$72,"F-060",'Features'!$G$3:$G$72,"blocked"))&gt;0,"BLOCKED — see mapped features",IF((COUNTIFS('Features'!$A$3:$A$72,"F-060",'Features'!$G$3:$G$72,"complete"))=1,"MET","OPEN — "&amp;(1-(COUNTIFS('Features'!$A$3:$A$72,"F-060",'Features'!$G$3:$G$72,"complete")))&amp;" of 1 remaining"))</f>
        <v/>
      </c>
      <c r="F33" s="4" t="inlineStr">
        <is>
          <t>The retention / word-of-mouth moment. Validate alongside the Trust Gap Score, before everything else.</t>
        </is>
      </c>
    </row>
    <row r="34" ht="42" customHeight="1">
      <c r="A34" s="4" t="inlineStr">
        <is>
          <t>Alpha</t>
        </is>
      </c>
      <c r="B34" s="4" t="inlineStr">
        <is>
          <t>The Decision Trigger™ captured</t>
        </is>
      </c>
      <c r="C34" s="4" t="inlineStr">
        <is>
          <t>A dedicated screen captures the event that made the customer act today ('why today').</t>
        </is>
      </c>
      <c r="D34" s="4" t="inlineStr">
        <is>
          <t>F-058</t>
        </is>
      </c>
      <c r="E34" s="4">
        <f>IF((COUNTIFS('Features'!$A$3:$A$72,"F-058",'Features'!$G$3:$G$72,"blocked"))&gt;0,"BLOCKED — see mapped features",IF((COUNTIFS('Features'!$A$3:$A$72,"F-058",'Features'!$G$3:$G$72,"complete"))=1,"MET","OPEN — "&amp;(1-(COUNTIFS('Features'!$A$3:$A$72,"F-058",'Features'!$G$3:$G$72,"complete")))&amp;" of 1 remaining"))</f>
        <v/>
      </c>
      <c r="F34" s="4" t="inlineStr">
        <is>
          <t>Blue-water line #2 vs Pixii — operates at the level of WHEN, not just who.</t>
        </is>
      </c>
    </row>
    <row r="35" ht="42" customHeight="1">
      <c r="A35" s="4" t="inlineStr">
        <is>
          <t>Alpha</t>
        </is>
      </c>
      <c r="B35" s="4" t="inlineStr">
        <is>
          <t>Marketing site live (gated)</t>
        </is>
      </c>
      <c r="C35" s="4" t="inlineStr">
        <is>
          <t>ideabrandcoach.com is live; the app is gated, revealing feature sets as they become beta-ready.</t>
        </is>
      </c>
      <c r="D35" s="4" t="inlineStr">
        <is>
          <t>F-067</t>
        </is>
      </c>
      <c r="E35" s="4">
        <f>IF((COUNTIFS('Features'!$A$3:$A$72,"F-067",'Features'!$G$3:$G$72,"blocked"))&gt;0,"BLOCKED — see mapped features",IF((COUNTIFS('Features'!$A$3:$A$72,"F-067",'Features'!$G$3:$G$72,"complete"))=1,"MET","OPEN — "&amp;(1-(COUNTIFS('Features'!$A$3:$A$72,"F-067",'Features'!$G$3:$G$72,"complete")))&amp;" of 1 remaining"))</f>
        <v/>
      </c>
      <c r="F35" s="4" t="inlineStr">
        <is>
          <t>Old consultancy site expires June; Trevor owns this track in Lovable (split-dev).</t>
        </is>
      </c>
    </row>
  </sheetData>
  <mergeCells count="2">
    <mergeCell ref="A2:F2"/>
    <mergeCell ref="A1:F1"/>
  </mergeCells>
  <conditionalFormatting sqref="E5:E35">
    <cfRule type="expression" priority="1" dxfId="2">
      <formula>E5="MET"</formula>
    </cfRule>
    <cfRule type="expression" priority="2" dxfId="0">
      <formula>ISNUMBER(SEARCH("BLOCKED",E5))</formula>
    </cfRule>
    <cfRule type="expression" priority="3" dxfId="1">
      <formula>ISNUMBER(SEARCH("OPEN",E5))</formula>
    </cfRule>
  </conditionalFormatting>
  <dataValidations count="1">
    <dataValidation sqref="A5:A135" showDropDown="0" showInputMessage="0" showErrorMessage="0" allowBlank="1" errorTitle="Invalid entry" error="Value must match one of the allowed options." type="list">
      <formula1>"Alpha,Beta,GA,Post-GA"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60" customWidth="1" min="3" max="3"/>
    <col width="30" customWidth="1" min="4" max="4"/>
    <col width="36" customWidth="1" min="5" max="5"/>
    <col width="50" customWidth="1" min="6" max="6"/>
  </cols>
  <sheetData>
    <row r="1" ht="32" customHeight="1">
      <c r="A1" s="1" t="inlineStr">
        <is>
          <t>Brand Needs — concrete user needs mapped to features</t>
        </is>
      </c>
    </row>
    <row r="2">
      <c r="A2" s="2" t="inlineStr">
        <is>
          <t>Anchors the feature inventory to real brand use cases. Each leaf need maps to one or more feature ids. fulfilment_status is derived: MET if all mapped features complete, BLOCKED if any are blocked, otherwise OPEN with count.</t>
        </is>
      </c>
    </row>
    <row r="4" ht="28" customHeight="1">
      <c r="A4" s="3" t="inlineStr">
        <is>
          <t>need_id</t>
        </is>
      </c>
      <c r="B4" s="3" t="inlineStr">
        <is>
          <t>brand</t>
        </is>
      </c>
      <c r="C4" s="3" t="inlineStr">
        <is>
          <t>need</t>
        </is>
      </c>
      <c r="D4" s="3" t="inlineStr">
        <is>
          <t>mapped_features</t>
        </is>
      </c>
      <c r="E4" s="3" t="inlineStr">
        <is>
          <t>fulfilment_status</t>
        </is>
      </c>
      <c r="F4" s="3" t="inlineStr">
        <is>
          <t>notes</t>
        </is>
      </c>
    </row>
    <row r="5" ht="42" customHeight="1">
      <c r="A5" s="4" t="inlineStr">
        <is>
          <t>N-001</t>
        </is>
      </c>
      <c r="B5" s="4" t="inlineStr">
        <is>
          <t>InfinityVault</t>
        </is>
      </c>
      <c r="C5" s="4" t="inlineStr">
        <is>
          <t>Create brand strategy doc using the Coach for the 'collector' avatar</t>
        </is>
      </c>
      <c r="D5" s="4" t="inlineStr">
        <is>
          <t>F-001,F-004,F-005,F-006,F-007,F-008,F-022,F-023</t>
        </is>
      </c>
      <c r="E5" s="4">
        <f>IF((COUNTIFS('Features'!$A$3:$A$72,"F-001",'Features'!$G$3:$G$72,"blocked")+COUNTIFS('Features'!$A$3:$A$72,"F-004",'Features'!$G$3:$G$72,"blocked")+COUNTIFS('Features'!$A$3:$A$72,"F-005",'Features'!$G$3:$G$72,"blocked")+COUNTIFS('Features'!$A$3:$A$72,"F-006",'Features'!$G$3:$G$72,"blocked")+COUNTIFS('Features'!$A$3:$A$72,"F-007",'Features'!$G$3:$G$72,"blocked")+COUNTIFS('Features'!$A$3:$A$72,"F-008",'Features'!$G$3:$G$72,"blocked")+COUNTIFS('Features'!$A$3:$A$72,"F-022",'Features'!$G$3:$G$72,"blocked")+COUNTIFS('Features'!$A$3:$A$72,"F-023",'Features'!$G$3:$G$72,"blocked"))&gt;0,"BLOCKED — see mapped features",IF((COUNTIFS('Features'!$A$3:$A$72,"F-001",'Features'!$G$3:$G$72,"complete")+COUNTIFS('Features'!$A$3:$A$72,"F-004",'Features'!$G$3:$G$72,"complete")+COUNTIFS('Features'!$A$3:$A$72,"F-005",'Features'!$G$3:$G$72,"complete")+COUNTIFS('Features'!$A$3:$A$72,"F-006",'Features'!$G$3:$G$72,"complete")+COUNTIFS('Features'!$A$3:$A$72,"F-007",'Features'!$G$3:$G$72,"complete")+COUNTIFS('Features'!$A$3:$A$72,"F-008",'Features'!$G$3:$G$72,"complete")+COUNTIFS('Features'!$A$3:$A$72,"F-022",'Features'!$G$3:$G$72,"complete")+COUNTIFS('Features'!$A$3:$A$72,"F-023",'Features'!$G$3:$G$72,"complete"))=8,"MET","OPEN — "&amp;(8-(COUNTIFS('Features'!$A$3:$A$72,"F-001",'Features'!$G$3:$G$72,"complete")+COUNTIFS('Features'!$A$3:$A$72,"F-004",'Features'!$G$3:$G$72,"complete")+COUNTIFS('Features'!$A$3:$A$72,"F-005",'Features'!$G$3:$G$72,"complete")+COUNTIFS('Features'!$A$3:$A$72,"F-006",'Features'!$G$3:$G$72,"complete")+COUNTIFS('Features'!$A$3:$A$72,"F-007",'Features'!$G$3:$G$72,"complete")+COUNTIFS('Features'!$A$3:$A$72,"F-008",'Features'!$G$3:$G$72,"complete")+COUNTIFS('Features'!$A$3:$A$72,"F-022",'Features'!$G$3:$G$72,"complete")+COUNTIFS('Features'!$A$3:$A$72,"F-023",'Features'!$G$3:$G$72,"complete")))&amp;" of 8 remaining"))</f>
        <v/>
      </c>
      <c r="F5" s="4" t="inlineStr">
        <is>
          <t>End-to-end happy path: Layer 1 conversation → Avatar Builder (collector) → Forensic Canvas → Coach refinement → Export. Validates the core product loop with a real brand.</t>
        </is>
      </c>
    </row>
    <row r="6" ht="42" customHeight="1">
      <c r="A6" s="4" t="inlineStr">
        <is>
          <t>N-002</t>
        </is>
      </c>
      <c r="B6" s="4" t="inlineStr">
        <is>
          <t>InfinityVault</t>
        </is>
      </c>
      <c r="C6" s="4" t="inlineStr">
        <is>
          <t>Assess current set of images and videos</t>
        </is>
      </c>
      <c r="D6" s="4" t="inlineStr">
        <is>
          <t>F-054</t>
        </is>
      </c>
      <c r="E6" s="4">
        <f>IF((COUNTIFS('Features'!$A$3:$A$72,"F-054",'Features'!$G$3:$G$72,"blocked"))&gt;0,"BLOCKED — see mapped features",IF((COUNTIFS('Features'!$A$3:$A$72,"F-054",'Features'!$G$3:$G$72,"complete"))=1,"MET","OPEN — "&amp;(1-(COUNTIFS('Features'!$A$3:$A$72,"F-054",'Features'!$G$3:$G$72,"complete")))&amp;" of 1 remaining"))</f>
        <v/>
      </c>
      <c r="F6" s="4" t="inlineStr">
        <is>
          <t>Top-level need under which the gap-identification and emotional-connection needs sit.</t>
        </is>
      </c>
    </row>
    <row r="7" ht="42" customHeight="1">
      <c r="A7" s="4" t="inlineStr">
        <is>
          <t>N-002.1</t>
        </is>
      </c>
      <c r="B7" s="4" t="inlineStr">
        <is>
          <t>InfinityVault</t>
        </is>
      </c>
      <c r="C7" s="4" t="inlineStr">
        <is>
          <t>Identify what's missing in the current image/video set</t>
        </is>
      </c>
      <c r="D7" s="4" t="inlineStr">
        <is>
          <t>F-054</t>
        </is>
      </c>
      <c r="E7" s="4">
        <f>IF((COUNTIFS('Features'!$A$3:$A$72,"F-054",'Features'!$G$3:$G$72,"blocked"))&gt;0,"BLOCKED — see mapped features",IF((COUNTIFS('Features'!$A$3:$A$72,"F-054",'Features'!$G$3:$G$72,"complete"))=1,"MET","OPEN — "&amp;(1-(COUNTIFS('Features'!$A$3:$A$72,"F-054",'Features'!$G$3:$G$72,"complete")))&amp;" of 1 remaining"))</f>
        <v/>
      </c>
      <c r="F7" s="4" t="inlineStr">
        <is>
          <t>Gap analysis on visual assets — requires side-by-side comparison + tagging against the canvas.</t>
        </is>
      </c>
    </row>
    <row r="8" ht="42" customHeight="1">
      <c r="A8" s="4" t="inlineStr">
        <is>
          <t>N-002.1.1</t>
        </is>
      </c>
      <c r="B8" s="4" t="inlineStr">
        <is>
          <t>InfinityVault</t>
        </is>
      </c>
      <c r="C8" s="4" t="inlineStr">
        <is>
          <t>Surface opportunities to improve emotional connection with the customer</t>
        </is>
      </c>
      <c r="D8" s="4" t="inlineStr">
        <is>
          <t>F-006,F-007,F-054,F-055</t>
        </is>
      </c>
      <c r="E8" s="4">
        <f>IF((COUNTIFS('Features'!$A$3:$A$72,"F-006",'Features'!$G$3:$G$72,"blocked")+COUNTIFS('Features'!$A$3:$A$72,"F-007",'Features'!$G$3:$G$72,"blocked")+COUNTIFS('Features'!$A$3:$A$72,"F-054",'Features'!$G$3:$G$72,"blocked")+COUNTIFS('Features'!$A$3:$A$72,"F-055",'Features'!$G$3:$G$72,"blocked"))&gt;0,"BLOCKED — see mapped features",IF((COUNTIFS('Features'!$A$3:$A$72,"F-006",'Features'!$G$3:$G$72,"complete")+COUNTIFS('Features'!$A$3:$A$72,"F-007",'Features'!$G$3:$G$72,"complete")+COUNTIFS('Features'!$A$3:$A$72,"F-054",'Features'!$G$3:$G$72,"complete")+COUNTIFS('Features'!$A$3:$A$72,"F-055",'Features'!$G$3:$G$72,"complete"))=4,"MET","OPEN — "&amp;(4-(COUNTIFS('Features'!$A$3:$A$72,"F-006",'Features'!$G$3:$G$72,"complete")+COUNTIFS('Features'!$A$3:$A$72,"F-007",'Features'!$G$3:$G$72,"complete")+COUNTIFS('Features'!$A$3:$A$72,"F-054",'Features'!$G$3:$G$72,"complete")+COUNTIFS('Features'!$A$3:$A$72,"F-055",'Features'!$G$3:$G$72,"complete")))&amp;" of 4 remaining"))</f>
        <v/>
      </c>
      <c r="F8" s="4" t="inlineStr">
        <is>
          <t>Connects Emotional Journey Mapping (Avatar Builder Sec 3) + Voice of Customer (Sec 4) to the asset gaps surfaced by F-054, with design briefs (F-055) closing the loop into action.</t>
        </is>
      </c>
    </row>
  </sheetData>
  <mergeCells count="2">
    <mergeCell ref="A2:F2"/>
    <mergeCell ref="A1:F1"/>
  </mergeCells>
  <conditionalFormatting sqref="E5:E8">
    <cfRule type="expression" priority="1" dxfId="2">
      <formula>E5="MET"</formula>
    </cfRule>
    <cfRule type="expression" priority="2" dxfId="0">
      <formula>ISNUMBER(SEARCH("BLOCKED",E5))</formula>
    </cfRule>
    <cfRule type="expression" priority="3" dxfId="1">
      <formula>ISNUMBER(SEARCH("OPEN",E5))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14" customWidth="1" min="3" max="3"/>
    <col width="10" customWidth="1" min="4" max="4"/>
    <col width="14" customWidth="1" min="5" max="5"/>
    <col width="38" customWidth="1" min="6" max="6"/>
    <col width="14" customWidth="1" min="7" max="7"/>
    <col width="50" customWidth="1" min="8" max="8"/>
    <col width="38" customWidth="1" min="9" max="9"/>
  </cols>
  <sheetData>
    <row r="1" ht="32" customHeight="1">
      <c r="A1" s="1" t="inlineStr">
        <is>
          <t>Risks — register with current state</t>
        </is>
      </c>
    </row>
    <row r="3" ht="28" customHeight="1">
      <c r="A3" s="3" t="inlineStr">
        <is>
          <t>risk_id</t>
        </is>
      </c>
      <c r="B3" s="3" t="inlineStr">
        <is>
          <t>risk_name</t>
        </is>
      </c>
      <c r="C3" s="3" t="inlineStr">
        <is>
          <t>phase_exposed</t>
        </is>
      </c>
      <c r="D3" s="3" t="inlineStr">
        <is>
          <t>severity</t>
        </is>
      </c>
      <c r="E3" s="3" t="inlineStr">
        <is>
          <t>current_state</t>
        </is>
      </c>
      <c r="F3" s="3" t="inlineStr">
        <is>
          <t>trigger_threshold</t>
        </is>
      </c>
      <c r="G3" s="3" t="inlineStr">
        <is>
          <t>mitigation_owner</t>
        </is>
      </c>
      <c r="H3" s="3" t="inlineStr">
        <is>
          <t>mitigation_status</t>
        </is>
      </c>
      <c r="I3" s="3" t="inlineStr">
        <is>
          <t>notes</t>
        </is>
      </c>
    </row>
    <row r="4" ht="42" customHeight="1">
      <c r="A4" s="4" t="inlineStr">
        <is>
          <t>R-001</t>
        </is>
      </c>
      <c r="B4" s="4" t="inlineStr">
        <is>
          <t>Product doesn't solve enough user problems well enough to earn value</t>
        </is>
      </c>
      <c r="C4" s="4" t="inlineStr">
        <is>
          <t>All</t>
        </is>
      </c>
      <c r="D4" s="4" t="inlineStr">
        <is>
          <t>Critical</t>
        </is>
      </c>
      <c r="E4" s="4" t="inlineStr">
        <is>
          <t>monitoring</t>
        </is>
      </c>
      <c r="F4" s="4" t="inlineStr">
        <is>
          <t>At Alpha exit, the Trust Gap™ Score does NOT resonate (testers don't feel the gap is real/accurate) OR The Signature does NOT surprise testers with its accuracy — i.e. fewer than 2 of {P-011 Diagnostic, P-001 Signature/articulation, P-003 strategy doc} verified PARTIAL+ via tester debriefs; OR &lt;50% of testers can articulate one concrete way the canvas changed how they think about their customer; OR fewer than 60% of shipped features map to ≥1 problem.</t>
        </is>
      </c>
      <c r="G4" s="4" t="inlineStr">
        <is>
          <t>Matthew</t>
        </is>
      </c>
      <c r="H4" s="4" t="inlineStr">
        <is>
          <t>Problems sheet operationalises tracking. Alpha feedback Moments 1 + 2 measure perceived value directly. If signal is low at Alpha midpoint, narrow scope to deepen 1-2 problems rather than adding features. GEN3 (2026-05-25): Trevor's two MVP-critical problems are the Trust Gap™ Score (P-011) and The Signature (P-001) — test those first [Analysis 2026-05-17]. ~2-3yr defensibility window → ship Alpha fast, don't gold-plate; full strategic frame in the Launch Roadmap Overview.</t>
        </is>
      </c>
      <c r="I4" s="4" t="inlineStr">
        <is>
          <t>Meta-risk above R-004 (form not conversation) and R-008 (no testimonials). The failure mode where every feature ships on time but the product still doesn't matter to anyone. Operational tool: the Problems sheet — every feature should tag to at least one problem.</t>
        </is>
      </c>
    </row>
    <row r="5" ht="42" customHeight="1">
      <c r="A5" s="4" t="inlineStr">
        <is>
          <t>R-002</t>
        </is>
      </c>
      <c r="B5" s="4" t="inlineStr">
        <is>
          <t>Alpha testers don't complete the flow</t>
        </is>
      </c>
      <c r="C5" s="4" t="inlineStr">
        <is>
          <t>Alpha</t>
        </is>
      </c>
      <c r="D5" s="4" t="inlineStr">
        <is>
          <t>High</t>
        </is>
      </c>
      <c r="E5" s="4" t="inlineStr">
        <is>
          <t>monitoring</t>
        </is>
      </c>
      <c r="F5" s="4" t="inlineStr">
        <is>
          <t>&lt;5 of 8 complete full flow by day 7</t>
        </is>
      </c>
      <c r="G5" s="4" t="inlineStr">
        <is>
          <t>Matthew</t>
        </is>
      </c>
      <c r="H5" s="4" t="inlineStr">
        <is>
          <t>Pre-flight QA checklist + daily monitoring + aggressive debrief follow-up planned</t>
        </is>
      </c>
      <c r="I5" s="4" t="inlineStr"/>
    </row>
    <row r="6" ht="42" customHeight="1">
      <c r="A6" s="4" t="inlineStr">
        <is>
          <t>R-003</t>
        </is>
      </c>
      <c r="B6" s="4" t="inlineStr">
        <is>
          <t>Trevor's voice doesn't land for younger demographic</t>
        </is>
      </c>
      <c r="C6" s="4" t="inlineStr">
        <is>
          <t>Alpha</t>
        </is>
      </c>
      <c r="D6" s="4" t="inlineStr">
        <is>
          <t>Medium</t>
        </is>
      </c>
      <c r="E6" s="4" t="inlineStr">
        <is>
          <t>monitoring</t>
        </is>
      </c>
      <c r="F6" s="4" t="inlineStr">
        <is>
          <t>3+ testers flag 'sounds old' or 'corporate'</t>
        </is>
      </c>
      <c r="G6" s="4" t="inlineStr">
        <is>
          <t>Trevor</t>
        </is>
      </c>
      <c r="H6" s="4" t="inlineStr">
        <is>
          <t>Mixed-experience tester pool; tone question in feedback Moment 1</t>
        </is>
      </c>
      <c r="I6" s="4" t="inlineStr"/>
    </row>
    <row r="7" ht="42" customHeight="1">
      <c r="A7" s="4" t="inlineStr">
        <is>
          <t>R-004</t>
        </is>
      </c>
      <c r="B7" s="4" t="inlineStr">
        <is>
          <t>Avatar Builder feels like a form not a conversation</t>
        </is>
      </c>
      <c r="C7" s="4" t="inlineStr">
        <is>
          <t>Alpha</t>
        </is>
      </c>
      <c r="D7" s="4" t="inlineStr">
        <is>
          <t>High</t>
        </is>
      </c>
      <c r="E7" s="4" t="inlineStr">
        <is>
          <t>monitoring</t>
        </is>
      </c>
      <c r="F7" s="4" t="inlineStr">
        <is>
          <t>Any tester says 'this is just a long form'</t>
        </is>
      </c>
      <c r="G7" s="4" t="inlineStr">
        <is>
          <t>Matthew</t>
        </is>
      </c>
      <c r="H7" s="4" t="inlineStr">
        <is>
          <t>F-009 AI assistance wired before alpha; F-010 progressive disclosure tested; question phrasing reviewed by Trevor</t>
        </is>
      </c>
      <c r="I7" s="4" t="inlineStr">
        <is>
          <t>Kills Trevor's core thesis if it materialises. Specific symptom of R-001.</t>
        </is>
      </c>
    </row>
    <row r="8" ht="42" customHeight="1">
      <c r="A8" s="4" t="inlineStr">
        <is>
          <t>R-005</t>
        </is>
      </c>
      <c r="B8" s="4" t="inlineStr">
        <is>
          <t>Pay gate conversion too low</t>
        </is>
      </c>
      <c r="C8" s="4" t="inlineStr">
        <is>
          <t>Beta</t>
        </is>
      </c>
      <c r="D8" s="4" t="inlineStr">
        <is>
          <t>High</t>
        </is>
      </c>
      <c r="E8" s="4" t="inlineStr">
        <is>
          <t>monitoring</t>
        </is>
      </c>
      <c r="F8" s="4" t="inlineStr">
        <is>
          <t>&lt;8% Draft viewers convert at 4-week mark</t>
        </is>
      </c>
      <c r="G8" s="4" t="inlineStr">
        <is>
          <t>Matthew</t>
        </is>
      </c>
      <c r="H8" s="4" t="inlineStr">
        <is>
          <t>Pay-gate previews use actual canvas data; pricing differentiated by job not features; A/B test framing</t>
        </is>
      </c>
      <c r="I8" s="4" t="inlineStr"/>
    </row>
    <row r="9" ht="42" customHeight="1">
      <c r="A9" s="4" t="inlineStr">
        <is>
          <t>R-006</t>
        </is>
      </c>
      <c r="B9" s="4" t="inlineStr">
        <is>
          <t>Refund rate is high</t>
        </is>
      </c>
      <c r="C9" s="4" t="inlineStr">
        <is>
          <t>Beta</t>
        </is>
      </c>
      <c r="D9" s="4" t="inlineStr">
        <is>
          <t>Medium</t>
        </is>
      </c>
      <c r="E9" s="4" t="inlineStr">
        <is>
          <t>monitoring</t>
        </is>
      </c>
      <c r="F9" s="4" t="inlineStr">
        <is>
          <t>&gt;10% refund rate</t>
        </is>
      </c>
      <c r="G9" s="4" t="inlineStr">
        <is>
          <t>Matthew</t>
        </is>
      </c>
      <c r="H9" s="4" t="inlineStr">
        <is>
          <t>Forensic canvas over-delivers vs pay-gate promise; 14-day refund window</t>
        </is>
      </c>
      <c r="I9" s="4" t="inlineStr"/>
    </row>
    <row r="10" ht="42" customHeight="1">
      <c r="A10" s="4" t="inlineStr">
        <is>
          <t>R-007</t>
        </is>
      </c>
      <c r="B10" s="4" t="inlineStr">
        <is>
          <t>Asset tracking sucks Beta scope dry</t>
        </is>
      </c>
      <c r="C10" s="4" t="inlineStr">
        <is>
          <t>Beta</t>
        </is>
      </c>
      <c r="D10" s="4" t="inlineStr">
        <is>
          <t>Medium</t>
        </is>
      </c>
      <c r="E10" s="4" t="inlineStr">
        <is>
          <t>monitoring</t>
        </is>
      </c>
      <c r="F10" s="4" t="inlineStr">
        <is>
          <t>Builder spending &gt;2 weeks on asset tracking in beta phase</t>
        </is>
      </c>
      <c r="G10" s="4" t="inlineStr">
        <is>
          <t>Matthew</t>
        </is>
      </c>
      <c r="H10" s="4" t="inlineStr">
        <is>
          <t>Decision gate at end of Alpha with hard threshold; v1 only if shipped</t>
        </is>
      </c>
      <c r="I10" s="4" t="inlineStr"/>
    </row>
    <row r="11" ht="42" customHeight="1">
      <c r="A11" s="4" t="inlineStr">
        <is>
          <t>R-008</t>
        </is>
      </c>
      <c r="B11" s="4" t="inlineStr">
        <is>
          <t>ROI testimonials don't materialise</t>
        </is>
      </c>
      <c r="C11" s="4" t="inlineStr">
        <is>
          <t>Beta</t>
        </is>
      </c>
      <c r="D11" s="4" t="inlineStr">
        <is>
          <t>High</t>
        </is>
      </c>
      <c r="E11" s="4" t="inlineStr">
        <is>
          <t>monitoring</t>
        </is>
      </c>
      <c r="F11" s="4" t="inlineStr">
        <is>
          <t>&lt;3 testimonials by week 4 of beta</t>
        </is>
      </c>
      <c r="G11" s="4" t="inlineStr">
        <is>
          <t>Matthew</t>
        </is>
      </c>
      <c r="H11" s="4" t="inlineStr">
        <is>
          <t>Testimonial harvest sequence baked in from day 1; results-focused user selection</t>
        </is>
      </c>
      <c r="I11" s="4" t="inlineStr">
        <is>
          <t>Kills the marketing engine if it materialises. Downstream symptom of R-001.</t>
        </is>
      </c>
    </row>
    <row r="12" ht="42" customHeight="1">
      <c r="A12" s="4" t="inlineStr">
        <is>
          <t>R-009</t>
        </is>
      </c>
      <c r="B12" s="4" t="inlineStr">
        <is>
          <t>GA acquisition CAC too high</t>
        </is>
      </c>
      <c r="C12" s="4" t="inlineStr">
        <is>
          <t>GA</t>
        </is>
      </c>
      <c r="D12" s="4" t="inlineStr">
        <is>
          <t>High</t>
        </is>
      </c>
      <c r="E12" s="4" t="inlineStr">
        <is>
          <t>monitoring</t>
        </is>
      </c>
      <c r="F12" s="4" t="inlineStr">
        <is>
          <t>Paid CAC payback &gt;4 months after 30 days of spend</t>
        </is>
      </c>
      <c r="G12" s="4" t="inlineStr">
        <is>
          <t>Matthew</t>
        </is>
      </c>
      <c r="H12" s="4" t="inlineStr">
        <is>
          <t>Build organic foundation in beta; don't scale paid until CAC payback known</t>
        </is>
      </c>
      <c r="I12" s="4" t="inlineStr"/>
    </row>
    <row r="13" ht="42" customHeight="1">
      <c r="A13" s="4" t="inlineStr">
        <is>
          <t>R-010</t>
        </is>
      </c>
      <c r="B13" s="4" t="inlineStr">
        <is>
          <t>Retention below unit economics floor</t>
        </is>
      </c>
      <c r="C13" s="4" t="inlineStr">
        <is>
          <t>GA</t>
        </is>
      </c>
      <c r="D13" s="4" t="inlineStr">
        <is>
          <t>Critical</t>
        </is>
      </c>
      <c r="E13" s="4" t="inlineStr">
        <is>
          <t>monitoring</t>
        </is>
      </c>
      <c r="F13" s="4" t="inlineStr">
        <is>
          <t>&lt;50% retention at week 4</t>
        </is>
      </c>
      <c r="G13" s="4" t="inlineStr">
        <is>
          <t>Matthew</t>
        </is>
      </c>
      <c r="H13" s="4" t="inlineStr">
        <is>
          <t>Retention motion built before GA; quarterly Voice of Customer refresh designed in</t>
        </is>
      </c>
      <c r="I13" s="4" t="inlineStr"/>
    </row>
    <row r="14" ht="42" customHeight="1">
      <c r="A14" s="4" t="inlineStr">
        <is>
          <t>R-011</t>
        </is>
      </c>
      <c r="B14" s="4" t="inlineStr">
        <is>
          <t>TikTok algorithm de-prioritises long-form B2B content</t>
        </is>
      </c>
      <c r="C14" s="4" t="inlineStr">
        <is>
          <t>Post-GA</t>
        </is>
      </c>
      <c r="D14" s="4" t="inlineStr">
        <is>
          <t>Medium</t>
        </is>
      </c>
      <c r="E14" s="4" t="inlineStr">
        <is>
          <t>monitoring</t>
        </is>
      </c>
      <c r="F14" s="4" t="inlineStr">
        <is>
          <t>Organic engagement &lt;2% after 30 days of content</t>
        </is>
      </c>
      <c r="G14" s="4" t="inlineStr">
        <is>
          <t>Matthew</t>
        </is>
      </c>
      <c r="H14" s="4" t="inlineStr">
        <is>
          <t>Organic test before paid; cap spend at £500/wk in test phase</t>
        </is>
      </c>
      <c r="I14" s="4" t="inlineStr"/>
    </row>
    <row r="15" ht="42" customHeight="1">
      <c r="A15" s="4" t="inlineStr">
        <is>
          <t>R-012</t>
        </is>
      </c>
      <c r="B15" s="4" t="inlineStr">
        <is>
          <t>Trevor's bandwidth limits content production</t>
        </is>
      </c>
      <c r="C15" s="4" t="inlineStr">
        <is>
          <t>All</t>
        </is>
      </c>
      <c r="D15" s="4" t="inlineStr">
        <is>
          <t>Medium</t>
        </is>
      </c>
      <c r="E15" s="4" t="inlineStr">
        <is>
          <t>monitoring</t>
        </is>
      </c>
      <c r="F15" s="4" t="inlineStr">
        <is>
          <t>Trevor unavailable &gt;2 weeks consecutively</t>
        </is>
      </c>
      <c r="G15" s="4" t="inlineStr">
        <is>
          <t>Matthew</t>
        </is>
      </c>
      <c r="H15" s="4" t="inlineStr">
        <is>
          <t>Batch recording; async content review; develop a second voice as backup</t>
        </is>
      </c>
      <c r="I15" s="4" t="inlineStr"/>
    </row>
    <row r="16" ht="42" customHeight="1">
      <c r="A16" s="4" t="inlineStr">
        <is>
          <t>R-013</t>
        </is>
      </c>
      <c r="B16" s="4" t="inlineStr">
        <is>
          <t>Lovable.dev vs existing codebase architectural collision</t>
        </is>
      </c>
      <c r="C16" s="4" t="inlineStr">
        <is>
          <t>Alpha</t>
        </is>
      </c>
      <c r="D16" s="4" t="inlineStr">
        <is>
          <t>Low</t>
        </is>
      </c>
      <c r="E16" s="4" t="inlineStr">
        <is>
          <t>resolved</t>
        </is>
      </c>
      <c r="F16" s="4" t="inlineStr">
        <is>
          <t>Two parallel codebases active &gt;1 week</t>
        </is>
      </c>
      <c r="G16" s="4" t="inlineStr">
        <is>
          <t>Matthew</t>
        </is>
      </c>
      <c r="H16" s="4" t="inlineStr">
        <is>
          <t>RESOLVED — split-dev decision recorded (F-052)</t>
        </is>
      </c>
      <c r="I16" s="4" t="inlineStr">
        <is>
          <t>RESOLVED 2026-04-23 [F 140678453]: split dev — Matthew builds backend in Claude Code, Trevor builds the marketing site in Lovable; beta stays on Lovable; custom server deferred until traction. Downgraded Critical→Low.</t>
        </is>
      </c>
    </row>
    <row r="17" ht="42" customHeight="1">
      <c r="A17" s="4" t="inlineStr">
        <is>
          <t>R-014</t>
        </is>
      </c>
      <c r="B17" s="4" t="inlineStr">
        <is>
          <t>Competitor launches similar tool (StoryBrand framework / Pixii execution)</t>
        </is>
      </c>
      <c r="C17" s="4" t="inlineStr">
        <is>
          <t>Beta</t>
        </is>
      </c>
      <c r="D17" s="4" t="inlineStr">
        <is>
          <t>Medium</t>
        </is>
      </c>
      <c r="E17" s="4" t="inlineStr">
        <is>
          <t>monitoring</t>
        </is>
      </c>
      <c r="F17" s="4" t="inlineStr">
        <is>
          <t>Competitor announcement or feature ship</t>
        </is>
      </c>
      <c r="G17" s="4" t="inlineStr">
        <is>
          <t>Matthew</t>
        </is>
      </c>
      <c r="H17" s="4" t="inlineStr">
        <is>
          <t>Speed; first-mover positioning on the Forensic Avatar Builder; lean into the Voice of Customer differentiator</t>
        </is>
      </c>
      <c r="I17" s="4" t="inlineStr">
        <is>
          <t>Two distinct vectors: StoryBrand (framework competitor) and Pixii (execution/image tool with a strategy layer). GEN3 (2026-05-25): 5 blue-water lines vs Pixii — (1) evidence vs inference, (2) The Decision Trigger™, (3) Trust Gap™ Diagnostic, (4) Coach as a live briefing not a one-shot PDF, (5) framework ownership. Position upstream of Pixii ('build the brief in IDEA, execute anywhere'), not as a competitor [Analysis 2026-05-17].</t>
        </is>
      </c>
    </row>
    <row r="18" ht="42" customHeight="1">
      <c r="A18" s="4" t="inlineStr">
        <is>
          <t>R-015</t>
        </is>
      </c>
      <c r="B18" s="4" t="inlineStr">
        <is>
          <t>Trevor changes framework spec mid-build</t>
        </is>
      </c>
      <c r="C18" s="4" t="inlineStr">
        <is>
          <t>All</t>
        </is>
      </c>
      <c r="D18" s="4" t="inlineStr">
        <is>
          <t>High</t>
        </is>
      </c>
      <c r="E18" s="4" t="inlineStr">
        <is>
          <t>monitoring</t>
        </is>
      </c>
      <c r="F18" s="4" t="inlineStr">
        <is>
          <t>Any framework field change requested post-Alpha launch</t>
        </is>
      </c>
      <c r="G18" s="4" t="inlineStr">
        <is>
          <t>Matthew</t>
        </is>
      </c>
      <c r="H18" s="4" t="inlineStr">
        <is>
          <t>Lock the v2 Brief; require written sign-off on changes; version-tag the build</t>
        </is>
      </c>
      <c r="I18" s="4" t="inlineStr"/>
    </row>
    <row r="19" ht="42" customHeight="1">
      <c r="A19" s="4" t="inlineStr">
        <is>
          <t>R-016</t>
        </is>
      </c>
      <c r="B19" s="4" t="inlineStr">
        <is>
          <t>Single-developer velocity / availability</t>
        </is>
      </c>
      <c r="C19" s="4" t="inlineStr">
        <is>
          <t>All</t>
        </is>
      </c>
      <c r="D19" s="4" t="inlineStr">
        <is>
          <t>High</t>
        </is>
      </c>
      <c r="E19" s="4" t="inlineStr">
        <is>
          <t>monitoring</t>
        </is>
      </c>
      <c r="F19" s="4" t="inlineStr">
        <is>
          <t>No app progress in any 2-week window; another deadline slips</t>
        </is>
      </c>
      <c r="G19" s="4" t="inlineStr">
        <is>
          <t>Matthew</t>
        </is>
      </c>
      <c r="H19" s="4" t="inlineStr">
        <is>
          <t>Lock a small hard Alpha scope; timebox; Trevor owns the marketing-site track in parallel</t>
        </is>
      </c>
      <c r="I19" s="4" t="inlineStr">
        <is>
          <t>GEN3 (2026-05-25): the dominant live risk. Matthew is repeatedly pulled to higher-paying work; the May-1 beta target was already missed and the project is in a re-planning holding pattern [WA 2026-01-23,02-20,04-18,05-13..16].</t>
        </is>
      </c>
    </row>
    <row r="20" ht="42" customHeight="1">
      <c r="A20" s="4" t="inlineStr">
        <is>
          <t>R-017</t>
        </is>
      </c>
      <c r="B20" s="4" t="inlineStr">
        <is>
          <t>Knowledge-storage architecture undecided</t>
        </is>
      </c>
      <c r="C20" s="4" t="inlineStr">
        <is>
          <t>Alpha</t>
        </is>
      </c>
      <c r="D20" s="4" t="inlineStr">
        <is>
          <t>Medium</t>
        </is>
      </c>
      <c r="E20" s="4" t="inlineStr">
        <is>
          <t>monitoring</t>
        </is>
      </c>
      <c r="F20" s="4" t="inlineStr">
        <is>
          <t>KB work blocks F-049 / coach grounding</t>
        </is>
      </c>
      <c r="G20" s="4" t="inlineStr">
        <is>
          <t>Matthew</t>
        </is>
      </c>
      <c r="H20" s="4" t="inlineStr">
        <is>
          <t>Pick one for Alpha; defer 'offer both'; spike before committing</t>
        </is>
      </c>
      <c r="I20" s="4" t="inlineStr">
        <is>
          <t>Knowledge-graph vs spreadsheet vs Obsidian; 'where does the KB sit — Supabase?' [WA 2026-04-24,05-19].</t>
        </is>
      </c>
    </row>
    <row r="21" ht="42" customHeight="1">
      <c r="A21" s="4" t="inlineStr">
        <is>
          <t>R-018</t>
        </is>
      </c>
      <c r="B21" s="4" t="inlineStr">
        <is>
          <t>Titan conflict-of-interest</t>
        </is>
      </c>
      <c r="C21" s="4" t="inlineStr">
        <is>
          <t>Beta</t>
        </is>
      </c>
      <c r="D21" s="4" t="inlineStr">
        <is>
          <t>Medium</t>
        </is>
      </c>
      <c r="E21" s="4" t="inlineStr">
        <is>
          <t>monitoring</t>
        </is>
      </c>
      <c r="F21" s="4" t="inlineStr">
        <is>
          <t>Titan declines or restricts promotion</t>
        </is>
      </c>
      <c r="G21" s="4" t="inlineStr">
        <is>
          <t>Matthew</t>
        </is>
      </c>
      <c r="H21" s="4" t="inlineStr">
        <is>
          <t>Resolve with Dan/Titan before relying on that channel; line up alternative beta sources</t>
        </is>
      </c>
      <c r="I21" s="4" t="inlineStr">
        <is>
          <t>Athena said Trevor 'can't promote this to members', yet the beta targets the Titan AI work party [F 140678453 @31:30].</t>
        </is>
      </c>
    </row>
    <row r="22" ht="42" customHeight="1">
      <c r="A22" s="4" t="inlineStr">
        <is>
          <t>R-019</t>
        </is>
      </c>
      <c r="B22" s="4" t="inlineStr">
        <is>
          <t>ProductPinion may not support landing-page A/B</t>
        </is>
      </c>
      <c r="C22" s="4" t="inlineStr">
        <is>
          <t>Alpha</t>
        </is>
      </c>
      <c r="D22" s="4" t="inlineStr">
        <is>
          <t>Low</t>
        </is>
      </c>
      <c r="E22" s="4" t="inlineStr">
        <is>
          <t>monitoring</t>
        </is>
      </c>
      <c r="F22" s="4" t="inlineStr">
        <is>
          <t>Capability unconfirmed at site launch</t>
        </is>
      </c>
      <c r="G22" s="4" t="inlineStr">
        <is>
          <t>Trevor</t>
        </is>
      </c>
      <c r="H22" s="4" t="inlineStr">
        <is>
          <t>Trevor confirms with ProductPinion contact; else build split-test scaffolding (F-066)</t>
        </is>
      </c>
      <c r="I22" s="4" t="inlineStr">
        <is>
          <t>ProductPinion may only support listing A/B, not landing-page split testing [F 140678453 @34:09].</t>
        </is>
      </c>
    </row>
  </sheetData>
  <mergeCells count="1">
    <mergeCell ref="A1:I1"/>
  </mergeCells>
  <conditionalFormatting sqref="E4:E122">
    <cfRule type="cellIs" priority="1" operator="equal" dxfId="3">
      <formula>"monitoring"</formula>
    </cfRule>
    <cfRule type="cellIs" priority="2" operator="equal" dxfId="0">
      <formula>"triggered"</formula>
    </cfRule>
    <cfRule type="cellIs" priority="3" operator="equal" dxfId="1">
      <formula>"mitigated"</formula>
    </cfRule>
    <cfRule type="cellIs" priority="4" operator="equal" dxfId="2">
      <formula>"resolved"</formula>
    </cfRule>
  </conditionalFormatting>
  <conditionalFormatting sqref="D4:D122">
    <cfRule type="cellIs" priority="5" operator="equal" dxfId="5">
      <formula>"Critical"</formula>
    </cfRule>
    <cfRule type="cellIs" priority="6" operator="equal" dxfId="0">
      <formula>"High"</formula>
    </cfRule>
    <cfRule type="cellIs" priority="7" operator="equal" dxfId="1">
      <formula>"Medium"</formula>
    </cfRule>
    <cfRule type="cellIs" priority="8" operator="equal" dxfId="3">
      <formula>"Low"</formula>
    </cfRule>
  </conditionalFormatting>
  <dataValidations count="3">
    <dataValidation sqref="C4:C122" showDropDown="0" showInputMessage="0" showErrorMessage="0" allowBlank="1" errorTitle="Invalid entry" error="Value must match one of the allowed options." type="list">
      <formula1>"Alpha,Beta,GA,Post-GA,All"</formula1>
    </dataValidation>
    <dataValidation sqref="D4:D122" showDropDown="0" showInputMessage="0" showErrorMessage="0" allowBlank="1" errorTitle="Invalid entry" error="Value must match one of the allowed options." type="list">
      <formula1>"Critical,High,Medium,Low"</formula1>
    </dataValidation>
    <dataValidation sqref="E4:E122" showDropDown="0" showInputMessage="0" showErrorMessage="0" allowBlank="1" errorTitle="Invalid entry" error="Value must match one of the allowed options." type="list">
      <formula1>"monitoring,triggered,mitigated,resolved"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60" customWidth="1" min="4" max="4"/>
  </cols>
  <sheetData>
    <row r="1" ht="32" customHeight="1">
      <c r="A1" s="1" t="inlineStr">
        <is>
          <t>Change Log — append-only</t>
        </is>
      </c>
    </row>
    <row r="3" ht="28" customHeight="1">
      <c r="A3" s="3" t="inlineStr">
        <is>
          <t>date</t>
        </is>
      </c>
      <c r="B3" s="3" t="inlineStr">
        <is>
          <t>who</t>
        </is>
      </c>
      <c r="C3" s="3" t="inlineStr">
        <is>
          <t>what_changed</t>
        </is>
      </c>
      <c r="D3" s="3" t="inlineStr">
        <is>
          <t>reason</t>
        </is>
      </c>
    </row>
    <row r="4" ht="28" customHeight="1">
      <c r="A4" s="4" t="inlineStr">
        <is>
          <t>2025-11-22</t>
        </is>
      </c>
      <c r="B4" s="4" t="inlineStr">
        <is>
          <t>Matthew ↔ Trevor (WhatsApp)</t>
        </is>
      </c>
      <c r="C4" s="4" t="inlineStr">
        <is>
          <t>Core thesis: get brand owners to switch from ChatGPT to the app (work gets lost in threads)</t>
        </is>
      </c>
      <c r="D4" s="4" t="inlineStr">
        <is>
          <t>Area(s): conversation | Source: WhatsApp 2025-11-22.</t>
        </is>
      </c>
    </row>
    <row r="5" ht="28" customHeight="1">
      <c r="A5" s="4" t="inlineStr">
        <is>
          <t>2025-11-27</t>
        </is>
      </c>
      <c r="B5" s="4" t="inlineStr">
        <is>
          <t>Matthew ↔ Trevor (WhatsApp)</t>
        </is>
      </c>
      <c r="C5" s="4" t="inlineStr">
        <is>
          <t>Pre-fill fields from users' existing brand docs (initially via a NotebookLM template) rather than re-typing</t>
        </is>
      </c>
      <c r="D5" s="4" t="inlineStr">
        <is>
          <t>Area(s): avatar_builder, infrastructure | Source: WhatsApp 2025-11-27.</t>
        </is>
      </c>
    </row>
    <row r="6" ht="28" customHeight="1">
      <c r="A6" s="4" t="inlineStr">
        <is>
          <t>2025-12-15</t>
        </is>
      </c>
      <c r="B6" s="4" t="inlineStr">
        <is>
          <t>Matthew ↔ Trevor (WhatsApp)</t>
        </is>
      </c>
      <c r="C6" s="4" t="inlineStr">
        <is>
          <t>Data model → per-user AND per-brand separation (triggered by the coach conflating two brands)</t>
        </is>
      </c>
      <c r="D6" s="4" t="inlineStr">
        <is>
          <t>Area(s): infrastructure, accounts, coach_mode | Source: WhatsApp 2025-12-15.</t>
        </is>
      </c>
    </row>
    <row r="7" ht="28" customHeight="1">
      <c r="A7" s="4" t="inlineStr">
        <is>
          <t>2025-12-19</t>
        </is>
      </c>
      <c r="B7" s="4" t="inlineStr">
        <is>
          <t>Matthew ↔ Trevor (WhatsApp)</t>
        </is>
      </c>
      <c r="C7" s="4" t="inlineStr">
        <is>
          <t>Brand Canvas = central synthesis layer pulling from all modules</t>
        </is>
      </c>
      <c r="D7" s="4" t="inlineStr">
        <is>
          <t>Area(s): canvas | Source: WhatsApp 2025-12-19.</t>
        </is>
      </c>
    </row>
    <row r="8" ht="28" customHeight="1">
      <c r="A8" s="4" t="inlineStr">
        <is>
          <t>2025-12-25</t>
        </is>
      </c>
      <c r="B8" s="4" t="inlineStr">
        <is>
          <t>Matthew ↔ Trevor (WhatsApp)</t>
        </is>
      </c>
      <c r="C8" s="4" t="inlineStr">
        <is>
          <t>System Knowledge Base (vector store) seeded with Trevor's book; RAG-grounded</t>
        </is>
      </c>
      <c r="D8" s="4" t="inlineStr">
        <is>
          <t>Area(s): infrastructure, coach_mode | Source: WhatsApp 2025-12-25.</t>
        </is>
      </c>
    </row>
    <row r="9" ht="28" customHeight="1">
      <c r="A9" s="4" t="inlineStr">
        <is>
          <t>2026-01-16</t>
        </is>
      </c>
      <c r="B9" s="4" t="inlineStr">
        <is>
          <t>Matthew ↔ Trevor (WhatsApp)</t>
        </is>
      </c>
      <c r="C9" s="4" t="inlineStr">
        <is>
          <t>Beta-Ready Scope formalized ($1000/Phase 1): Insight Module + Approval Gate + single unified strategy doc; billing deferred</t>
        </is>
      </c>
      <c r="D9" s="4" t="inlineStr">
        <is>
          <t>Area(s): multi | Source: WhatsApp 2026-01-16.</t>
        </is>
      </c>
    </row>
    <row r="10" ht="28" customHeight="1">
      <c r="A10" s="4" t="inlineStr">
        <is>
          <t>2026-01-26</t>
        </is>
      </c>
      <c r="B10" s="4" t="inlineStr">
        <is>
          <t>Matthew ↔ Trevor (WhatsApp)</t>
        </is>
      </c>
      <c r="C10" s="4" t="inlineStr">
        <is>
          <t>Cut non-functional pages — every page must produce an output</t>
        </is>
      </c>
      <c r="D10" s="4" t="inlineStr">
        <is>
          <t>Area(s): design_system | Source: WhatsApp 2026-01-26.</t>
        </is>
      </c>
    </row>
    <row r="11" ht="28" customHeight="1">
      <c r="A11" s="4" t="inlineStr">
        <is>
          <t>2026-02-21</t>
        </is>
      </c>
      <c r="B11" s="4" t="inlineStr">
        <is>
          <t>Matthew ↔ Trevor (WhatsApp)</t>
        </is>
      </c>
      <c r="C11" s="4" t="inlineStr">
        <is>
          <t>Trevor freezes scope: 'no additional features, speed is priority'</t>
        </is>
      </c>
      <c r="D11" s="4" t="inlineStr">
        <is>
          <t>Area(s): all | Source: WhatsApp 2026-02-21.</t>
        </is>
      </c>
    </row>
    <row r="12" ht="28" customHeight="1">
      <c r="A12" s="4" t="inlineStr">
        <is>
          <t>2026-03-01</t>
        </is>
      </c>
      <c r="B12" s="4" t="inlineStr">
        <is>
          <t>Matthew ↔ Trevor (WhatsApp)</t>
        </is>
      </c>
      <c r="C12" s="4" t="inlineStr">
        <is>
          <t>Positioning: authority on branding/avatar/messaging + results tracking; don't compete on content generation</t>
        </is>
      </c>
      <c r="D12" s="4" t="inlineStr">
        <is>
          <t>Area(s): strategy | Source: WhatsApp 2026-03-01.</t>
        </is>
      </c>
    </row>
    <row r="13" ht="28" customHeight="1">
      <c r="A13" s="4" t="inlineStr">
        <is>
          <t>2026-03-18</t>
        </is>
      </c>
      <c r="B13" s="4" t="inlineStr">
        <is>
          <t>Matthew ↔ Trevor (WhatsApp)</t>
        </is>
      </c>
      <c r="C13" s="4" t="inlineStr">
        <is>
          <t>3-tier commercial model (App / Brand Community / 1:1 Consultancy); Agentic Commerce / AVM module idea</t>
        </is>
      </c>
      <c r="D13" s="4" t="inlineStr">
        <is>
          <t>Area(s): create_mode | Source: WhatsApp 2026-03-18.</t>
        </is>
      </c>
    </row>
    <row r="14" ht="28" customHeight="1">
      <c r="A14" s="4" t="inlineStr">
        <is>
          <t>2026-04-06</t>
        </is>
      </c>
      <c r="B14" s="4" t="inlineStr">
        <is>
          <t>Matthew ↔ Trevor (WhatsApp)</t>
        </is>
      </c>
      <c r="C14" s="4" t="inlineStr">
        <is>
          <t>Migrate AI backend OpenAI → Anthropic/Claude (cost + maintainability)</t>
        </is>
      </c>
      <c r="D14" s="4" t="inlineStr">
        <is>
          <t>Area(s): infrastructure | Source: WhatsApp 2026-04-06.</t>
        </is>
      </c>
    </row>
    <row r="15" ht="28" customHeight="1">
      <c r="A15" s="4" t="inlineStr">
        <is>
          <t>2026-04-12</t>
        </is>
      </c>
      <c r="B15" s="4" t="inlineStr">
        <is>
          <t>Matthew ↔ Trevor (WhatsApp)</t>
        </is>
      </c>
      <c r="C15" s="4" t="inlineStr">
        <is>
          <t>Gen 3 respec: conversation-first; Avatar Builder = core; three modes Canvas/Create/Coach</t>
        </is>
      </c>
      <c r="D15" s="4" t="inlineStr">
        <is>
          <t>Area(s): all | Source: WhatsApp 2026-04-12.</t>
        </is>
      </c>
    </row>
    <row r="16" ht="28" customHeight="1">
      <c r="A16" s="4" t="inlineStr">
        <is>
          <t>2026-04-23</t>
        </is>
      </c>
      <c r="B16" s="4" t="inlineStr">
        <is>
          <t>Gen 3 meeting (Fathom 140678453, 140691318)</t>
        </is>
      </c>
      <c r="C16" s="4" t="inlineStr">
        <is>
          <t>Split dev (Matthew backend in Claude Code / Trevor marketing in Lovable); beta on Lovable; ideabrandcoach.com</t>
        </is>
      </c>
      <c r="D16" s="4" t="inlineStr">
        <is>
          <t>Area(s): infrastructure | Source: Fathom 140678453 + 140691318. Resolves F-052 / R-013.</t>
        </is>
      </c>
    </row>
    <row r="17" ht="28" customHeight="1">
      <c r="A17" s="4" t="inlineStr">
        <is>
          <t>2026-05-02</t>
        </is>
      </c>
      <c r="B17" s="4" t="inlineStr">
        <is>
          <t>Matthew ↔ Trevor (WhatsApp)</t>
        </is>
      </c>
      <c r="C17" s="4" t="inlineStr">
        <is>
          <t>Gen 3 doc set delivered (8 docs incl. Avatar 2.0 field spec + Decision Trigger™)</t>
        </is>
      </c>
      <c r="D17" s="4" t="inlineStr">
        <is>
          <t>Area(s): all | Source: WhatsApp 2026-05-02.</t>
        </is>
      </c>
    </row>
    <row r="18" ht="28" customHeight="1">
      <c r="A18" s="4" t="inlineStr">
        <is>
          <t>2026-05-06</t>
        </is>
      </c>
      <c r="B18" s="4" t="inlineStr">
        <is>
          <t>Gen 3 meeting (Fathom 144128256)</t>
        </is>
      </c>
      <c r="C18" s="4" t="inlineStr">
        <is>
          <t>Gen 3 mockup: Trust Gap™ Score, Decision Trigger™ screen, Customer Insight Engine™, bridge screen, freemium, locked-but-visible fields</t>
        </is>
      </c>
      <c r="D18" s="4" t="inlineStr">
        <is>
          <t>Area(s): conversation, avatar_builder, canvas, pay_gate | Source: Fathom 144128256. Basis for F-057..F-064.</t>
        </is>
      </c>
    </row>
    <row r="19" ht="28" customHeight="1">
      <c r="A19" s="4" t="inlineStr">
        <is>
          <t>2026-05-13</t>
        </is>
      </c>
      <c r="B19" s="4" t="inlineStr">
        <is>
          <t>Matthew (via Claude Code)</t>
        </is>
      </c>
      <c r="C19" s="4" t="inlineStr">
        <is>
          <t>Initial workbook created</t>
        </is>
      </c>
      <c r="D19" s="4" t="inlineStr">
        <is>
          <t>Operational counterpart to Launch Roadmap; seeded from Gen 3 brief, V2 PRD, and Launch Roadmap workbook.</t>
        </is>
      </c>
    </row>
    <row r="20" ht="28" customHeight="1">
      <c r="A20" s="4" t="inlineStr">
        <is>
          <t>2026-05-13</t>
        </is>
      </c>
      <c r="B20" s="4" t="inlineStr">
        <is>
          <t>Matthew (via Claude Code)</t>
        </is>
      </c>
      <c r="C20" s="4" t="inlineStr">
        <is>
          <t>Added F-053..F-056 + Brand Needs sheet</t>
        </is>
      </c>
      <c r="D20" s="4" t="inlineStr">
        <is>
          <t>Captured multi-angle, image comparison, design brief, and (post-GA) image generation features. Added Brand Needs sheet seeded with InfinityVault as the first validation case.</t>
        </is>
      </c>
    </row>
    <row r="21" ht="28" customHeight="1">
      <c r="A21" s="4" t="inlineStr">
        <is>
          <t>2026-05-16</t>
        </is>
      </c>
      <c r="B21" s="4" t="inlineStr">
        <is>
          <t>Matthew ↔ Trevor (WhatsApp)</t>
        </is>
      </c>
      <c r="C21" s="4" t="inlineStr">
        <is>
          <t>Three-phase launch (Alpha→Beta→GA) formalized; Launch Roadmap + Feature Status Tracker created; placeholder 6-week target (to tighten)</t>
        </is>
      </c>
      <c r="D21" s="4" t="inlineStr">
        <is>
          <t>Area(s): all | Source: WhatsApp 2026-05-16.</t>
        </is>
      </c>
    </row>
    <row r="22" ht="28" customHeight="1">
      <c r="A22" s="4" t="inlineStr">
        <is>
          <t>2026-05-16</t>
        </is>
      </c>
      <c r="B22" s="4" t="inlineStr">
        <is>
          <t>Matthew (via Claude Code)</t>
        </is>
      </c>
      <c r="C22" s="4" t="inlineStr">
        <is>
          <t>Corrected status for brand strategy doc + PDF export; added Problems sheet</t>
        </is>
      </c>
      <c r="D22" s="4" t="inlineStr">
        <is>
          <t>F-008 was wrongly marked not_started — corrected to in_review 80% based on shipped generate-brand-strategy-document. F-023 corrected to in_progress 65% (PDF + Markdown shipped, Word still missing). Added Problems sheet with the 10 problems we solve mapped to features; added problems_addressed column on Features.</t>
        </is>
      </c>
    </row>
    <row r="23" ht="28" customHeight="1">
      <c r="A23" s="4" t="inlineStr">
        <is>
          <t>2026-05-16</t>
        </is>
      </c>
      <c r="B23" s="4" t="inlineStr">
        <is>
          <t>Matthew (via Claude Code)</t>
        </is>
      </c>
      <c r="C23" s="4" t="inlineStr">
        <is>
          <t>Full sub-feature audit against the codebase (6 parallel agents)</t>
        </is>
      </c>
      <c r="D23" s="4" t="inlineStr">
        <is>
          <t>Audited all 64 sub-features against actual code on main. Major findings: (a) F-008 dropped 80→39% — the strategy doc ships but the Forensic *tier* concept and Trigger Moment callout don't exist in code; (b) F-002.2 + F-012.2 reduced from 100% — quality badges use value heuristics, not extractor confidence; (c) F-009 dropped 30→19% — only ONE AI mode is independently invocable, not four; (d) F-011.1 reduced from 100→70% — code uses field_source + separate is_locked, not a manuallyEdited boolean; (e) all of F-013/F-014/F-015/F-016 confirmed 0 — no three-moment infra exists; existing BetaFeedback is a separate older system that won't compose; (f) F-017 confirmed 0 — no Sentry installed. Per-sub-feature notes updated with file:line evidence; parent features rolled up to averages.</t>
        </is>
      </c>
    </row>
    <row r="24" ht="28" customHeight="1">
      <c r="A24" s="4" t="inlineStr">
        <is>
          <t>2026-05-17</t>
        </is>
      </c>
      <c r="B24" s="4" t="inlineStr">
        <is>
          <t>Trevor (strategic analysis)</t>
        </is>
      </c>
      <c r="C24" s="4" t="inlineStr">
        <is>
          <t>Strategic analysis: 10 problems; MVP must validate Trust Gap™ + The Signature first; no image generation; 'blue water' vs Pixii</t>
        </is>
      </c>
      <c r="D24" s="4" t="inlineStr">
        <is>
          <t>Area(s): strategy | Source: IDEA App 3 v3 Claude Analysis 17 May 2026.</t>
        </is>
      </c>
    </row>
    <row r="25" ht="28" customHeight="1">
      <c r="A25" s="4" t="inlineStr">
        <is>
          <t>2026-05-25</t>
        </is>
      </c>
      <c r="B25" s="4" t="inlineStr">
        <is>
          <t>Matthew (via Claude Code)</t>
        </is>
      </c>
      <c r="C25" s="4" t="inlineStr">
        <is>
          <t>Folded in Context Delta 2026-05-25 + v2 Launch Roadmap (WhatsApp + Gen 3 Fathom transcripts)</t>
        </is>
      </c>
      <c r="D25" s="4" t="inlineStr">
        <is>
          <t>Added F-057..F-067; freemium reframe (F-019); F-052/R-013 resolved (split dev, 4/23); F-056 → deliberate non-goal; added R-016..R-019; reconciled Avatar Builder 4→5 stages (flagged); added P-011/P-012; sharpened R-001 to the Trust Gap + Signature validation bar; named StoryBrand + Pixii in R-014; added Alpha gates for Trust Gap / Signature / Decision Trigger; seeded the dated decision trail.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2026-05-25T12:30:21Z</dcterms:created>
  <dcterms:modified xsi:type="dcterms:W3CDTF">2026-05-25T12:30:21Z</dcterms:modified>
</cp:coreProperties>
</file>